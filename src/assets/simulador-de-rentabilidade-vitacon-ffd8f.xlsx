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uario\Desktop\AÇÃO DE VENDAS JÁU\"/>
    </mc:Choice>
  </mc:AlternateContent>
  <xr:revisionPtr revIDLastSave="0" documentId="13_ncr:1_{87ECF729-217F-4177-A8E4-6A015F561C08}" xr6:coauthVersionLast="47" xr6:coauthVersionMax="47" xr10:uidLastSave="{00000000-0000-0000-0000-000000000000}"/>
  <workbookProtection workbookAlgorithmName="SHA-512" workbookHashValue="mO97UkcV7+v7TjRl7BqOCP73ZAuBQMnHnJ9usGdKIUtXl+4aUaYPT06bWYv/qqyIkfpq0N2lnQvR//fVurks9g==" workbookSaltValue="RDHSQTzduBfE4VxBG7VeWQ==" workbookSpinCount="100000" lockStructure="1"/>
  <bookViews>
    <workbookView xWindow="-108" yWindow="-108" windowWidth="23256" windowHeight="12456" firstSheet="1" activeTab="1" xr2:uid="{00000000-000D-0000-FFFF-FFFF00000000}"/>
  </bookViews>
  <sheets>
    <sheet name="Dashboard mobile" sheetId="8" r:id="rId1"/>
    <sheet name="Dashboard" sheetId="6" r:id="rId2"/>
    <sheet name="Simulador Rentabilidade" sheetId="1" r:id="rId3"/>
    <sheet name="Calculos" sheetId="2" r:id="rId4"/>
    <sheet name="Endereços" sheetId="4" state="hidden" r:id="rId5"/>
    <sheet name="Diária por Bairr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E61" i="8"/>
  <c r="C56" i="8" l="1"/>
  <c r="A55" i="8"/>
  <c r="B55" i="8"/>
  <c r="C55" i="8"/>
  <c r="A57" i="8"/>
  <c r="B57" i="8"/>
  <c r="C57" i="8"/>
  <c r="A59" i="8"/>
  <c r="B59" i="8"/>
  <c r="C59" i="8"/>
  <c r="B9" i="1"/>
  <c r="D61" i="8"/>
  <c r="C60" i="8"/>
  <c r="B60" i="8"/>
  <c r="A60" i="8"/>
  <c r="C58" i="8"/>
  <c r="B58" i="8"/>
  <c r="A58" i="8"/>
  <c r="B56" i="8"/>
  <c r="A56" i="8"/>
  <c r="C54" i="8"/>
  <c r="B54" i="8"/>
  <c r="A54" i="8"/>
  <c r="A18" i="2" l="1"/>
  <c r="I32" i="1"/>
  <c r="G30" i="1"/>
  <c r="G29" i="1"/>
  <c r="G28" i="1"/>
  <c r="B8" i="1" l="1"/>
  <c r="B12" i="5"/>
  <c r="B14" i="5" s="1"/>
  <c r="B16" i="5" s="1"/>
  <c r="B17" i="5" s="1"/>
  <c r="B18" i="5" s="1"/>
  <c r="B19" i="5" s="1"/>
  <c r="B20" i="5" s="1"/>
  <c r="B21" i="5" s="1"/>
  <c r="B22" i="5" s="1"/>
  <c r="B23" i="5" s="1"/>
  <c r="B25" i="1"/>
  <c r="G34" i="1"/>
  <c r="G33" i="1"/>
  <c r="I34" i="1" s="1"/>
  <c r="G32" i="1"/>
  <c r="G31" i="1"/>
  <c r="D55" i="8" l="1"/>
  <c r="A16" i="2"/>
  <c r="C21" i="2" s="1"/>
  <c r="D31" i="1"/>
  <c r="B10" i="1"/>
  <c r="D30" i="1"/>
  <c r="D56" i="8" s="1"/>
  <c r="D33" i="1"/>
  <c r="D59" i="8" s="1"/>
  <c r="D32" i="1"/>
  <c r="D34" i="1"/>
  <c r="D54" i="8" l="1"/>
  <c r="E54" i="8" s="1"/>
  <c r="E28" i="1"/>
  <c r="D57" i="8"/>
  <c r="C18" i="2"/>
  <c r="D60" i="8"/>
  <c r="D58" i="8"/>
  <c r="E31" i="1"/>
  <c r="E57" i="8" s="1"/>
  <c r="C20" i="2"/>
  <c r="C19" i="2"/>
  <c r="B17" i="1"/>
  <c r="B27" i="2" s="1"/>
  <c r="E32" i="1"/>
  <c r="E58" i="8" s="1"/>
  <c r="E33" i="1"/>
  <c r="E59" i="8" s="1"/>
  <c r="E30" i="1"/>
  <c r="E56" i="8" s="1"/>
  <c r="E29" i="1"/>
  <c r="E55" i="8" s="1"/>
  <c r="E34" i="1"/>
  <c r="E60" i="8" s="1"/>
  <c r="B18" i="1" l="1"/>
  <c r="B5" i="2" s="1"/>
  <c r="B8" i="2" l="1"/>
  <c r="B7" i="2"/>
  <c r="B19" i="1"/>
  <c r="B22" i="1" s="1"/>
  <c r="B23" i="1" s="1"/>
  <c r="B6" i="2"/>
  <c r="B10" i="2"/>
  <c r="B9" i="2"/>
  <c r="D27" i="2"/>
  <c r="B4" i="2"/>
  <c r="B20" i="1" l="1"/>
  <c r="C27" i="2"/>
</calcChain>
</file>

<file path=xl/sharedStrings.xml><?xml version="1.0" encoding="utf-8"?>
<sst xmlns="http://schemas.openxmlformats.org/spreadsheetml/2006/main" count="222" uniqueCount="159">
  <si>
    <t>Dados de Entrada</t>
  </si>
  <si>
    <t>Parâmetro</t>
  </si>
  <si>
    <t>Valor</t>
  </si>
  <si>
    <t>Valor do m² (R$)</t>
  </si>
  <si>
    <t>Metragem do Studio (m²)</t>
  </si>
  <si>
    <t>Bairro</t>
  </si>
  <si>
    <t>Valor da diária (R$)</t>
  </si>
  <si>
    <t>Taxa de ocupação (%)</t>
  </si>
  <si>
    <t>Custos operacionais (%)</t>
  </si>
  <si>
    <t>Resultados</t>
  </si>
  <si>
    <t>Valor total do imóvel (R$)</t>
  </si>
  <si>
    <t>Faturamento bruto mensal (R$)</t>
  </si>
  <si>
    <t>Custos operacionais (R$)</t>
  </si>
  <si>
    <t>Lucro líquido mensal (R$)</t>
  </si>
  <si>
    <t>Série</t>
  </si>
  <si>
    <t>Inicio</t>
  </si>
  <si>
    <t>Qtd</t>
  </si>
  <si>
    <t>Venc.</t>
  </si>
  <si>
    <t>Total</t>
  </si>
  <si>
    <t>%</t>
  </si>
  <si>
    <t>% parcela</t>
  </si>
  <si>
    <t>ATO</t>
  </si>
  <si>
    <t>SINAL</t>
  </si>
  <si>
    <t>MENSAIS</t>
  </si>
  <si>
    <t>ANUAIS</t>
  </si>
  <si>
    <t>ÚNICA</t>
  </si>
  <si>
    <t>FINANCIAMENTO</t>
  </si>
  <si>
    <t>PERIODICIDADE</t>
  </si>
  <si>
    <t>Valor / m2</t>
  </si>
  <si>
    <t>M2</t>
  </si>
  <si>
    <t>Valor da diaria</t>
  </si>
  <si>
    <t>% taxa de coupacao</t>
  </si>
  <si>
    <t>Dias</t>
  </si>
  <si>
    <t>Valor Mensal</t>
  </si>
  <si>
    <t>Cálculo do Faturamento bruto mensal (R$)</t>
  </si>
  <si>
    <t>Valor da diária x quantidade dias (referência mês 30 dias)</t>
  </si>
  <si>
    <t>Data</t>
  </si>
  <si>
    <t>% Valorização</t>
  </si>
  <si>
    <t>R$</t>
  </si>
  <si>
    <t>Cálculo da Estimativa de Valorização em R$</t>
  </si>
  <si>
    <t>Valor do imóvel * valorização</t>
  </si>
  <si>
    <t>Empreendimento</t>
  </si>
  <si>
    <t>Vitacon Pinheiros</t>
  </si>
  <si>
    <t>Vitacon Domingos de Morais</t>
  </si>
  <si>
    <t>Endereço</t>
  </si>
  <si>
    <t>Vitacon Jardins</t>
  </si>
  <si>
    <t>Cálculo do Lucro Líquido Mensal</t>
  </si>
  <si>
    <t>Faturamento Bruto - Custos Operacionais</t>
  </si>
  <si>
    <t>Detalhe</t>
  </si>
  <si>
    <t>Faturamento</t>
  </si>
  <si>
    <t>Bruto</t>
  </si>
  <si>
    <t>Custos</t>
  </si>
  <si>
    <t>Liquido</t>
  </si>
  <si>
    <t>Vila Mariana</t>
  </si>
  <si>
    <t>Rua Domingos de Morais, 3093</t>
  </si>
  <si>
    <t>Jardins</t>
  </si>
  <si>
    <t>Valor Diária</t>
  </si>
  <si>
    <t>fórmula</t>
  </si>
  <si>
    <t>Vitacon Casa Verde</t>
  </si>
  <si>
    <t>Casa Verde</t>
  </si>
  <si>
    <t>Alameda Franca, 253</t>
  </si>
  <si>
    <t>Vitacon Alameda Franca</t>
  </si>
  <si>
    <t>Rua Heitor Penteado,177</t>
  </si>
  <si>
    <t>Pinheiros</t>
  </si>
  <si>
    <t>Vitacon Perdizes</t>
  </si>
  <si>
    <t>Rua Padre Chico, 183</t>
  </si>
  <si>
    <t>Perdizes</t>
  </si>
  <si>
    <t>H Bela Cintra By Vitacon</t>
  </si>
  <si>
    <t>Rua Mourato Coelho, 128</t>
  </si>
  <si>
    <t>Vitacon Mourato Coelho</t>
  </si>
  <si>
    <t>Rua Maestro Cardim, 1041</t>
  </si>
  <si>
    <t>Vitacon Maestro Cardim</t>
  </si>
  <si>
    <t>Paraíso</t>
  </si>
  <si>
    <t>Vitacon Vila Olímpia</t>
  </si>
  <si>
    <t>Rua Alvorada, 203</t>
  </si>
  <si>
    <t>Vila Olímpia</t>
  </si>
  <si>
    <t>Rua Tonelero, 1213</t>
  </si>
  <si>
    <t>Alto de Pinheiros</t>
  </si>
  <si>
    <t>Vitacon Alto de Pinheiros</t>
  </si>
  <si>
    <t>Av. Brigadeiro Luís Antônio, 871</t>
  </si>
  <si>
    <t>Bela Vista</t>
  </si>
  <si>
    <t>Vitacon Brigadeiro</t>
  </si>
  <si>
    <t>On Jardins</t>
  </si>
  <si>
    <t>Alameda Itú,1571</t>
  </si>
  <si>
    <t>Rua Bela Cintra, 1425</t>
  </si>
  <si>
    <t>Rua Augusta, 2662</t>
  </si>
  <si>
    <t>Avenida Casa Verde, 3482</t>
  </si>
  <si>
    <t>Rua Urussuí, 142</t>
  </si>
  <si>
    <t>Vitacon Itaim</t>
  </si>
  <si>
    <t>Itaim Bibi</t>
  </si>
  <si>
    <t>Alto da Boa Vista</t>
  </si>
  <si>
    <t>Vitacon Boa Vista</t>
  </si>
  <si>
    <t>Vitacon Bela Vista</t>
  </si>
  <si>
    <t>Rua São Miguel, 117</t>
  </si>
  <si>
    <t>Rua São Benedito, 2575</t>
  </si>
  <si>
    <t>Vitacon Lorena</t>
  </si>
  <si>
    <t>Alameda Lorena, 2158</t>
  </si>
  <si>
    <t>On Flórida</t>
  </si>
  <si>
    <t>Av. Santo Amaro, 3800</t>
  </si>
  <si>
    <t>Brooklin</t>
  </si>
  <si>
    <t>Rua Bela Cintra, 1032</t>
  </si>
  <si>
    <t>Consolação</t>
  </si>
  <si>
    <t>Housi Paulista</t>
  </si>
  <si>
    <t>Rua Madre Cabrini, 303</t>
  </si>
  <si>
    <t>On Pixel Life Vila Mariana</t>
  </si>
  <si>
    <t>Vitacon Alameda Jaú</t>
  </si>
  <si>
    <t xml:space="preserve">Alameda Jaú, 20 </t>
  </si>
  <si>
    <t>Rua Alvorada, 1036</t>
  </si>
  <si>
    <t>On Cardoso de Melo</t>
  </si>
  <si>
    <t>On Brooklin</t>
  </si>
  <si>
    <t>Av. Santo Amaro, 5200</t>
  </si>
  <si>
    <t>On Maracatins</t>
  </si>
  <si>
    <t>Alameda dos Maracatins, 1424</t>
  </si>
  <si>
    <t>Moema</t>
  </si>
  <si>
    <t>Rua Domingos de Morais, 1164</t>
  </si>
  <si>
    <t>On Domingos de Morais</t>
  </si>
  <si>
    <t>On Vila Olímpia</t>
  </si>
  <si>
    <t>Rua Cabo Verde, 350</t>
  </si>
  <si>
    <t>On Jurupis</t>
  </si>
  <si>
    <t>Alameda dos Jurupis, 700</t>
  </si>
  <si>
    <t>Housi Perdizes</t>
  </si>
  <si>
    <t>Rua Caraíbas, 198</t>
  </si>
  <si>
    <t>Housi Brooklin</t>
  </si>
  <si>
    <t>Rua Getúlio Soares da Rocha, 135</t>
  </si>
  <si>
    <t>Rua Alvorada 183</t>
  </si>
  <si>
    <t>On Alvorada 183</t>
  </si>
  <si>
    <t>On Lorena</t>
  </si>
  <si>
    <t>Alameda Lorena, 718</t>
  </si>
  <si>
    <t>Av. dos Imarés 318</t>
  </si>
  <si>
    <t>On Imarés</t>
  </si>
  <si>
    <t>VN Ueno</t>
  </si>
  <si>
    <t>Rua Barata Ribeiro, 108</t>
  </si>
  <si>
    <t>Rua Chilon, 184</t>
  </si>
  <si>
    <t>VN Millennium Faria Lima</t>
  </si>
  <si>
    <t>VN Frei Caneca</t>
  </si>
  <si>
    <t>Rua Frei Caneca, 645</t>
  </si>
  <si>
    <t>VN Consolação</t>
  </si>
  <si>
    <t>Rua da Consolação, 297</t>
  </si>
  <si>
    <t>Ipiranga</t>
  </si>
  <si>
    <t>Higienópolis</t>
  </si>
  <si>
    <t>Bom Retiro</t>
  </si>
  <si>
    <t>Aclimação</t>
  </si>
  <si>
    <t>Pompéia</t>
  </si>
  <si>
    <t>Saúde</t>
  </si>
  <si>
    <t>Morumbi</t>
  </si>
  <si>
    <t>Sumaré</t>
  </si>
  <si>
    <t>lista</t>
  </si>
  <si>
    <t>Quantidade</t>
  </si>
  <si>
    <t>Tempo</t>
  </si>
  <si>
    <t>Em Obras</t>
  </si>
  <si>
    <t>Financiamento</t>
  </si>
  <si>
    <t>Soma Tempo</t>
  </si>
  <si>
    <t>Periodo Obra</t>
  </si>
  <si>
    <t>Média valor do ativo na Entrega</t>
  </si>
  <si>
    <t xml:space="preserve"> Média valorização no periodo de obra</t>
  </si>
  <si>
    <t>Expectativa rentabilidade anual sobre patriomonio (%)</t>
  </si>
  <si>
    <t>Expectativa rentabilidade sobre aporte (%)</t>
  </si>
  <si>
    <t>Expectativa de rentabilidade anual  sobre aporte(%)</t>
  </si>
  <si>
    <t>Expectativa rentabilidade mensal sobre patrimonio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</si>
</sst>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/yy"/>
    <numFmt numFmtId="165" formatCode="&quot;R$ &quot;#,##0.00"/>
    <numFmt numFmtId="166" formatCode="[$-416]mmm\-yy;@"/>
  </numFmts>
  <fonts count="27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sz val="11"/>
      <color theme="0"/>
      <name val="Century Gothic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b/>
      <sz val="11"/>
      <name val="Century Gothic"/>
      <family val="2"/>
      <scheme val="minor"/>
    </font>
    <font>
      <sz val="1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sz val="11"/>
      <name val="Calibri"/>
      <family val="2"/>
    </font>
    <font>
      <sz val="11"/>
      <name val="HelveticaNeue"/>
    </font>
    <font>
      <b/>
      <sz val="12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i/>
      <sz val="11"/>
      <color theme="0"/>
      <name val="Century Gothic"/>
      <family val="2"/>
      <scheme val="minor"/>
    </font>
    <font>
      <sz val="8"/>
      <color theme="1"/>
      <name val="Century Gothic"/>
      <family val="2"/>
      <scheme val="minor"/>
    </font>
    <font>
      <sz val="10"/>
      <color theme="0"/>
      <name val="Century Gothic"/>
      <family val="2"/>
      <scheme val="minor"/>
    </font>
    <font>
      <b/>
      <sz val="14"/>
      <color theme="0"/>
      <name val="Century Gothic"/>
      <family val="1"/>
      <scheme val="minor"/>
    </font>
    <font>
      <b/>
      <u/>
      <sz val="11"/>
      <color theme="1"/>
      <name val="Calibri"/>
      <family val="2"/>
    </font>
    <font>
      <b/>
      <u val="singleAccounting"/>
      <sz val="11"/>
      <color theme="1"/>
      <name val="Century Gothic"/>
      <family val="1"/>
      <scheme val="minor"/>
    </font>
    <font>
      <sz val="14"/>
      <color theme="1"/>
      <name val="Calibri"/>
      <family val="2"/>
    </font>
    <font>
      <b/>
      <sz val="11"/>
      <name val="Century Gothic"/>
      <family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FFC000"/>
      </patternFill>
    </fill>
    <fill>
      <patternFill patternType="solid">
        <fgColor rgb="FFC00000"/>
        <bgColor rgb="FFDDDDDD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3" fillId="0" borderId="1" xfId="0" applyFont="1" applyBorder="1"/>
    <xf numFmtId="44" fontId="0" fillId="0" borderId="3" xfId="1" applyFont="1" applyBorder="1"/>
    <xf numFmtId="9" fontId="0" fillId="0" borderId="3" xfId="2" applyFont="1" applyBorder="1"/>
    <xf numFmtId="10" fontId="0" fillId="0" borderId="3" xfId="2" applyNumberFormat="1" applyFont="1" applyBorder="1"/>
    <xf numFmtId="9" fontId="0" fillId="0" borderId="7" xfId="2" applyFont="1" applyBorder="1"/>
    <xf numFmtId="0" fontId="0" fillId="0" borderId="2" xfId="0" applyBorder="1"/>
    <xf numFmtId="0" fontId="0" fillId="0" borderId="3" xfId="0" applyBorder="1"/>
    <xf numFmtId="0" fontId="4" fillId="0" borderId="2" xfId="0" applyFont="1" applyBorder="1"/>
    <xf numFmtId="0" fontId="0" fillId="0" borderId="6" xfId="0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7" fillId="0" borderId="1" xfId="0" applyFont="1" applyBorder="1"/>
    <xf numFmtId="9" fontId="7" fillId="0" borderId="1" xfId="2" applyFont="1" applyBorder="1"/>
    <xf numFmtId="44" fontId="7" fillId="0" borderId="1" xfId="1" applyFont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7" fillId="0" borderId="2" xfId="0" applyFont="1" applyBorder="1"/>
    <xf numFmtId="0" fontId="7" fillId="0" borderId="8" xfId="0" applyFont="1" applyBorder="1" applyAlignment="1">
      <alignment horizontal="center"/>
    </xf>
    <xf numFmtId="9" fontId="7" fillId="0" borderId="8" xfId="2" applyFont="1" applyBorder="1"/>
    <xf numFmtId="0" fontId="10" fillId="0" borderId="12" xfId="0" applyFont="1" applyBorder="1" applyAlignment="1">
      <alignment horizontal="center"/>
    </xf>
    <xf numFmtId="0" fontId="11" fillId="0" borderId="12" xfId="2" applyNumberFormat="1" applyFont="1" applyBorder="1" applyAlignment="1">
      <alignment horizontal="center"/>
    </xf>
    <xf numFmtId="44" fontId="11" fillId="0" borderId="12" xfId="1" applyFont="1" applyBorder="1"/>
    <xf numFmtId="9" fontId="11" fillId="0" borderId="12" xfId="2" applyFont="1" applyBorder="1" applyAlignment="1">
      <alignment horizontal="center"/>
    </xf>
    <xf numFmtId="0" fontId="12" fillId="0" borderId="0" xfId="0" applyFont="1"/>
    <xf numFmtId="44" fontId="14" fillId="0" borderId="1" xfId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0" fontId="15" fillId="0" borderId="3" xfId="0" applyNumberFormat="1" applyFont="1" applyBorder="1" applyAlignment="1">
      <alignment horizontal="center" vertical="center"/>
    </xf>
    <xf numFmtId="0" fontId="11" fillId="0" borderId="9" xfId="0" applyFont="1" applyBorder="1"/>
    <xf numFmtId="165" fontId="16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166" fontId="0" fillId="0" borderId="13" xfId="0" applyNumberFormat="1" applyBorder="1" applyProtection="1">
      <protection locked="0"/>
    </xf>
    <xf numFmtId="44" fontId="0" fillId="7" borderId="13" xfId="0" applyNumberFormat="1" applyFill="1" applyBorder="1"/>
    <xf numFmtId="9" fontId="0" fillId="0" borderId="13" xfId="0" applyNumberFormat="1" applyBorder="1" applyProtection="1">
      <protection locked="0"/>
    </xf>
    <xf numFmtId="44" fontId="18" fillId="5" borderId="0" xfId="0" applyNumberFormat="1" applyFont="1" applyFill="1"/>
    <xf numFmtId="44" fontId="0" fillId="0" borderId="0" xfId="0" applyNumberFormat="1"/>
    <xf numFmtId="0" fontId="11" fillId="0" borderId="1" xfId="0" applyFont="1" applyBorder="1"/>
    <xf numFmtId="0" fontId="6" fillId="6" borderId="14" xfId="0" applyFont="1" applyFill="1" applyBorder="1" applyAlignment="1">
      <alignment horizontal="center"/>
    </xf>
    <xf numFmtId="0" fontId="0" fillId="6" borderId="0" xfId="0" applyFill="1"/>
    <xf numFmtId="0" fontId="19" fillId="6" borderId="0" xfId="0" applyFont="1" applyFill="1"/>
    <xf numFmtId="44" fontId="0" fillId="0" borderId="0" xfId="1" applyFont="1"/>
    <xf numFmtId="0" fontId="8" fillId="0" borderId="12" xfId="0" applyFont="1" applyBorder="1"/>
    <xf numFmtId="0" fontId="0" fillId="0" borderId="12" xfId="0" applyBorder="1"/>
    <xf numFmtId="44" fontId="8" fillId="0" borderId="12" xfId="1" applyFont="1" applyBorder="1"/>
    <xf numFmtId="44" fontId="0" fillId="0" borderId="12" xfId="1" applyFont="1" applyBorder="1"/>
    <xf numFmtId="0" fontId="6" fillId="8" borderId="11" xfId="0" applyFont="1" applyFill="1" applyBorder="1" applyAlignment="1">
      <alignment horizontal="center"/>
    </xf>
    <xf numFmtId="0" fontId="7" fillId="8" borderId="1" xfId="0" applyFont="1" applyFill="1" applyBorder="1"/>
    <xf numFmtId="0" fontId="7" fillId="8" borderId="3" xfId="0" applyFont="1" applyFill="1" applyBorder="1"/>
    <xf numFmtId="0" fontId="7" fillId="8" borderId="1" xfId="0" applyFont="1" applyFill="1" applyBorder="1" applyAlignment="1">
      <alignment horizontal="center"/>
    </xf>
    <xf numFmtId="9" fontId="7" fillId="8" borderId="1" xfId="2" applyFont="1" applyFill="1" applyBorder="1"/>
    <xf numFmtId="0" fontId="7" fillId="8" borderId="2" xfId="0" applyFont="1" applyFill="1" applyBorder="1"/>
    <xf numFmtId="0" fontId="0" fillId="8" borderId="1" xfId="0" applyFill="1" applyBorder="1"/>
    <xf numFmtId="0" fontId="3" fillId="6" borderId="0" xfId="0" applyFont="1" applyFill="1"/>
    <xf numFmtId="0" fontId="20" fillId="0" borderId="3" xfId="0" applyFont="1" applyBorder="1"/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21" fillId="3" borderId="4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9" fontId="21" fillId="0" borderId="1" xfId="2" applyFont="1" applyBorder="1"/>
    <xf numFmtId="44" fontId="22" fillId="0" borderId="0" xfId="1" applyFont="1" applyFill="1"/>
    <xf numFmtId="44" fontId="0" fillId="0" borderId="3" xfId="0" applyNumberFormat="1" applyBorder="1" applyProtection="1">
      <protection locked="0"/>
    </xf>
    <xf numFmtId="0" fontId="21" fillId="3" borderId="8" xfId="0" applyFont="1" applyFill="1" applyBorder="1" applyAlignment="1" applyProtection="1">
      <alignment horizontal="center" vertical="center"/>
      <protection locked="0"/>
    </xf>
    <xf numFmtId="44" fontId="24" fillId="5" borderId="3" xfId="1" applyFont="1" applyFill="1" applyBorder="1" applyProtection="1">
      <protection locked="0"/>
    </xf>
    <xf numFmtId="0" fontId="24" fillId="5" borderId="3" xfId="0" applyFont="1" applyFill="1" applyBorder="1" applyProtection="1">
      <protection locked="0"/>
    </xf>
    <xf numFmtId="164" fontId="23" fillId="5" borderId="1" xfId="0" applyNumberFormat="1" applyFont="1" applyFill="1" applyBorder="1" applyAlignment="1" applyProtection="1">
      <alignment horizontal="center" vertical="center"/>
      <protection locked="0"/>
    </xf>
    <xf numFmtId="0" fontId="23" fillId="5" borderId="1" xfId="0" applyFont="1" applyFill="1" applyBorder="1" applyAlignment="1" applyProtection="1">
      <alignment horizontal="center" vertical="center"/>
      <protection locked="0"/>
    </xf>
    <xf numFmtId="0" fontId="25" fillId="0" borderId="2" xfId="0" applyFont="1" applyBorder="1"/>
    <xf numFmtId="0" fontId="0" fillId="9" borderId="6" xfId="0" applyFill="1" applyBorder="1"/>
    <xf numFmtId="9" fontId="0" fillId="9" borderId="7" xfId="2" applyFont="1" applyFill="1" applyBorder="1"/>
    <xf numFmtId="0" fontId="0" fillId="0" borderId="15" xfId="0" applyBorder="1"/>
    <xf numFmtId="9" fontId="0" fillId="0" borderId="7" xfId="2" applyFont="1" applyFill="1" applyBorder="1"/>
    <xf numFmtId="44" fontId="0" fillId="9" borderId="1" xfId="0" applyNumberFormat="1" applyFill="1" applyBorder="1"/>
    <xf numFmtId="9" fontId="3" fillId="6" borderId="0" xfId="2" applyFont="1" applyFill="1" applyBorder="1" applyAlignment="1">
      <alignment horizontal="center"/>
    </xf>
    <xf numFmtId="44" fontId="3" fillId="6" borderId="0" xfId="1" applyFont="1" applyFill="1" applyBorder="1" applyAlignment="1">
      <alignment horizontal="center"/>
    </xf>
    <xf numFmtId="0" fontId="26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166" fontId="22" fillId="0" borderId="0" xfId="0" applyNumberFormat="1" applyFont="1" applyAlignment="1">
      <alignment horizontal="center"/>
    </xf>
    <xf numFmtId="44" fontId="22" fillId="0" borderId="0" xfId="0" applyNumberFormat="1" applyFont="1" applyAlignment="1">
      <alignment horizontal="right"/>
    </xf>
    <xf numFmtId="44" fontId="22" fillId="0" borderId="0" xfId="0" applyNumberFormat="1" applyFont="1" applyAlignment="1">
      <alignment horizontal="center"/>
    </xf>
    <xf numFmtId="0" fontId="22" fillId="10" borderId="0" xfId="0" applyFont="1" applyFill="1" applyAlignment="1">
      <alignment horizontal="center"/>
    </xf>
    <xf numFmtId="0" fontId="0" fillId="5" borderId="3" xfId="0" applyFill="1" applyBorder="1"/>
    <xf numFmtId="0" fontId="3" fillId="6" borderId="0" xfId="0" applyFont="1" applyFill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HelveticaNeue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416]mmm/yy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rgb="FFDDDDDD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color theme="1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theme="1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theme="1"/>
        <family val="2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entury Gothic"/>
        <family val="1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entury Gothic"/>
        <family val="1"/>
        <scheme val="minor"/>
      </font>
      <numFmt numFmtId="166" formatCode="[$-416]m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rgb="FFFFFFFF"/>
        <name val="Century Gothic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entury Gothic"/>
        <family val="1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721411"/>
      <color rgb="FFC9EEB1"/>
      <color rgb="FFFC1D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Rentabilidade x Taxa de ocupação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10320539740819E-2"/>
          <c:y val="0.16250256410256411"/>
          <c:w val="0.81702579103052564"/>
          <c:h val="0.742947223904704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Calculos!$C$3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satMod val="100000"/>
                    <a:lumMod val="104000"/>
                  </a:schemeClr>
                </a:gs>
                <a:gs pos="78000">
                  <a:schemeClr val="accent1">
                    <a:shade val="100000"/>
                    <a:satMod val="11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>
              <a:bevelT w="508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1-2295-464D-95BC-D3EDE4DD25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3-2295-464D-95BC-D3EDE4DD25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5-2295-464D-95BC-D3EDE4DD25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7-2295-464D-95BC-D3EDE4DD25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9-2295-464D-95BC-D3EDE4DD25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B-2295-464D-95BC-D3EDE4DD25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D-2295-464D-95BC-D3EDE4DD25BC}"/>
              </c:ext>
            </c:extLst>
          </c:dPt>
          <c:cat>
            <c:numRef>
              <c:f>Calculos!$B$4:$B$10</c:f>
              <c:numCache>
                <c:formatCode>_("R$"* #,##0.00_);_("R$"* \(#,##0.00\);_("R$"* "-"??_);_(@_)</c:formatCode>
                <c:ptCount val="7"/>
                <c:pt idx="0">
                  <c:v>2880</c:v>
                </c:pt>
                <c:pt idx="1">
                  <c:v>3780</c:v>
                </c:pt>
                <c:pt idx="2">
                  <c:v>4680</c:v>
                </c:pt>
                <c:pt idx="3">
                  <c:v>5130</c:v>
                </c:pt>
                <c:pt idx="4">
                  <c:v>5580</c:v>
                </c:pt>
                <c:pt idx="5">
                  <c:v>6480</c:v>
                </c:pt>
                <c:pt idx="6">
                  <c:v>7380</c:v>
                </c:pt>
              </c:numCache>
            </c:numRef>
          </c:cat>
          <c:val>
            <c:numRef>
              <c:f>Calculos!$C$4:$C$10</c:f>
              <c:numCache>
                <c:formatCode>0%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95-464D-95BC-D3EDE4DD2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71674367"/>
        <c:axId val="2071679167"/>
      </c:barChart>
      <c:catAx>
        <c:axId val="207167436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679167"/>
        <c:crosses val="autoZero"/>
        <c:auto val="1"/>
        <c:lblAlgn val="ctr"/>
        <c:lblOffset val="100"/>
        <c:noMultiLvlLbl val="0"/>
      </c:catAx>
      <c:valAx>
        <c:axId val="207167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67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Rentabilidade x Taxa de ocupação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Calculos!$C$3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satMod val="100000"/>
                    <a:lumMod val="104000"/>
                  </a:schemeClr>
                </a:gs>
                <a:gs pos="78000">
                  <a:schemeClr val="accent1">
                    <a:shade val="100000"/>
                    <a:satMod val="11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>
              <a:bevelT w="508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5-134B-6247-B6EE-9A913F8D02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6-134B-6247-B6EE-9A913F8D02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7-134B-6247-B6EE-9A913F8D02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1-12D2-4762-92FD-A1617FA9740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2-134B-6247-B6EE-9A913F8D0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3-134B-6247-B6EE-9A913F8D023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4-134B-6247-B6EE-9A913F8D023E}"/>
              </c:ext>
            </c:extLst>
          </c:dPt>
          <c:cat>
            <c:numRef>
              <c:f>Calculos!$B$4:$B$10</c:f>
              <c:numCache>
                <c:formatCode>_("R$"* #,##0.00_);_("R$"* \(#,##0.00\);_("R$"* "-"??_);_(@_)</c:formatCode>
                <c:ptCount val="7"/>
                <c:pt idx="0">
                  <c:v>2880</c:v>
                </c:pt>
                <c:pt idx="1">
                  <c:v>3780</c:v>
                </c:pt>
                <c:pt idx="2">
                  <c:v>4680</c:v>
                </c:pt>
                <c:pt idx="3">
                  <c:v>5130</c:v>
                </c:pt>
                <c:pt idx="4">
                  <c:v>5580</c:v>
                </c:pt>
                <c:pt idx="5">
                  <c:v>6480</c:v>
                </c:pt>
                <c:pt idx="6">
                  <c:v>7380</c:v>
                </c:pt>
              </c:numCache>
            </c:numRef>
          </c:cat>
          <c:val>
            <c:numRef>
              <c:f>Calculos!$C$4:$C$10</c:f>
              <c:numCache>
                <c:formatCode>0%</c:formatCode>
                <c:ptCount val="7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D2-4762-92FD-A1617FA97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71674367"/>
        <c:axId val="2071679167"/>
      </c:barChart>
      <c:catAx>
        <c:axId val="207167436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679167"/>
        <c:crosses val="autoZero"/>
        <c:auto val="1"/>
        <c:lblAlgn val="ctr"/>
        <c:lblOffset val="100"/>
        <c:noMultiLvlLbl val="0"/>
      </c:catAx>
      <c:valAx>
        <c:axId val="207167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67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117807</xdr:colOff>
      <xdr:row>48</xdr:row>
      <xdr:rowOff>88900</xdr:rowOff>
    </xdr:from>
    <xdr:ext cx="4187493" cy="265265"/>
    <xdr:sp macro="" textlink="">
      <xdr:nvSpPr>
        <xdr:cNvPr id="9" name="TextBox 42">
          <a:extLst>
            <a:ext uri="{FF2B5EF4-FFF2-40B4-BE49-F238E27FC236}">
              <a16:creationId xmlns:a16="http://schemas.microsoft.com/office/drawing/2014/main" id="{BF686F18-32BA-FB40-B74B-B4E3BB32C829}"/>
            </a:ext>
          </a:extLst>
        </xdr:cNvPr>
        <xdr:cNvSpPr txBox="1"/>
      </xdr:nvSpPr>
      <xdr:spPr>
        <a:xfrm>
          <a:off x="117807" y="8623300"/>
          <a:ext cx="4187493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>
              <a:solidFill>
                <a:schemeClr val="bg1"/>
              </a:solidFill>
            </a:rPr>
            <a:t>* Valor de referência para uma taxa de ocupação de 75%</a:t>
          </a:r>
        </a:p>
      </xdr:txBody>
    </xdr:sp>
    <xdr:clientData/>
  </xdr:oneCellAnchor>
  <xdr:twoCellAnchor>
    <xdr:from>
      <xdr:col>0</xdr:col>
      <xdr:colOff>114301</xdr:colOff>
      <xdr:row>1</xdr:row>
      <xdr:rowOff>137584</xdr:rowOff>
    </xdr:from>
    <xdr:to>
      <xdr:col>6</xdr:col>
      <xdr:colOff>800101</xdr:colOff>
      <xdr:row>6</xdr:row>
      <xdr:rowOff>74083</xdr:rowOff>
    </xdr:to>
    <xdr:grpSp>
      <xdr:nvGrpSpPr>
        <xdr:cNvPr id="10" name="Group 51">
          <a:extLst>
            <a:ext uri="{FF2B5EF4-FFF2-40B4-BE49-F238E27FC236}">
              <a16:creationId xmlns:a16="http://schemas.microsoft.com/office/drawing/2014/main" id="{2BBD4B1C-92F7-6141-A249-3C7915DFD4D9}"/>
            </a:ext>
          </a:extLst>
        </xdr:cNvPr>
        <xdr:cNvGrpSpPr/>
      </xdr:nvGrpSpPr>
      <xdr:grpSpPr>
        <a:xfrm>
          <a:off x="114301" y="311755"/>
          <a:ext cx="9416143" cy="807357"/>
          <a:chOff x="851201" y="184453"/>
          <a:chExt cx="9626298" cy="795262"/>
        </a:xfrm>
        <a:solidFill>
          <a:schemeClr val="tx1">
            <a:lumMod val="75000"/>
            <a:lumOff val="25000"/>
          </a:schemeClr>
        </a:solidFill>
      </xdr:grpSpPr>
      <xdr:sp macro="" textlink="'Simulador Rentabilidade'!B7">
        <xdr:nvSpPr>
          <xdr:cNvPr id="11" name="Rectangle: Rounded Corners 52">
            <a:extLst>
              <a:ext uri="{FF2B5EF4-FFF2-40B4-BE49-F238E27FC236}">
                <a16:creationId xmlns:a16="http://schemas.microsoft.com/office/drawing/2014/main" id="{CF0C2F31-1053-9738-248F-B7179355CEA7}"/>
              </a:ext>
            </a:extLst>
          </xdr:cNvPr>
          <xdr:cNvSpPr/>
        </xdr:nvSpPr>
        <xdr:spPr>
          <a:xfrm>
            <a:off x="851201" y="184453"/>
            <a:ext cx="9626298" cy="795262"/>
          </a:xfrm>
          <a:prstGeom prst="round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4F15F08-234C-43ED-B23D-9713567B6F8C}" type="TxLink">
              <a:rPr lang="en-US" sz="1800" b="1" i="0" u="none" strike="noStrike">
                <a:solidFill>
                  <a:schemeClr val="bg1"/>
                </a:solidFill>
                <a:latin typeface="Century Gothic"/>
              </a:rPr>
              <a:pPr algn="ctr"/>
              <a:t>Vitacon Domingos de Morais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'Simulador Rentabilidade'!B9">
        <xdr:nvSpPr>
          <xdr:cNvPr id="12" name="Rectangle: Rounded Corners 53">
            <a:extLst>
              <a:ext uri="{FF2B5EF4-FFF2-40B4-BE49-F238E27FC236}">
                <a16:creationId xmlns:a16="http://schemas.microsoft.com/office/drawing/2014/main" id="{CC948F9B-CB4A-EE9A-CAAC-6E3958368138}"/>
              </a:ext>
            </a:extLst>
          </xdr:cNvPr>
          <xdr:cNvSpPr/>
        </xdr:nvSpPr>
        <xdr:spPr>
          <a:xfrm>
            <a:off x="2462136" y="543681"/>
            <a:ext cx="6404428" cy="372534"/>
          </a:xfrm>
          <a:prstGeom prst="roundRect">
            <a:avLst/>
          </a:prstGeom>
          <a:grpFill/>
          <a:ln>
            <a:noFill/>
          </a:ln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1F67B99-1141-4249-9830-E9E8FE2197BC}" type="TxLink">
              <a:rPr lang="en-US" sz="1200" b="0" i="0" u="none" strike="noStrike">
                <a:solidFill>
                  <a:schemeClr val="bg1"/>
                </a:solidFill>
                <a:latin typeface="Century Gothic"/>
              </a:rPr>
              <a:pPr algn="ctr"/>
              <a:t>Rua Domingos de Morais, 3093</a:t>
            </a:fld>
            <a:endParaRPr lang="en-US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177800</xdr:colOff>
      <xdr:row>31</xdr:row>
      <xdr:rowOff>127000</xdr:rowOff>
    </xdr:from>
    <xdr:to>
      <xdr:col>7</xdr:col>
      <xdr:colOff>181429</xdr:colOff>
      <xdr:row>48</xdr:row>
      <xdr:rowOff>138340</xdr:rowOff>
    </xdr:to>
    <xdr:graphicFrame macro="">
      <xdr:nvGraphicFramePr>
        <xdr:cNvPr id="14" name="Chart 56">
          <a:extLst>
            <a:ext uri="{FF2B5EF4-FFF2-40B4-BE49-F238E27FC236}">
              <a16:creationId xmlns:a16="http://schemas.microsoft.com/office/drawing/2014/main" id="{81C41FCF-5AE0-9D4A-9719-0C7E986ED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1126676</xdr:colOff>
      <xdr:row>43</xdr:row>
      <xdr:rowOff>30538</xdr:rowOff>
    </xdr:from>
    <xdr:to>
      <xdr:col>6</xdr:col>
      <xdr:colOff>698282</xdr:colOff>
      <xdr:row>46</xdr:row>
      <xdr:rowOff>40669</xdr:rowOff>
    </xdr:to>
    <xdr:grpSp>
      <xdr:nvGrpSpPr>
        <xdr:cNvPr id="15" name="Group 57">
          <a:extLst>
            <a:ext uri="{FF2B5EF4-FFF2-40B4-BE49-F238E27FC236}">
              <a16:creationId xmlns:a16="http://schemas.microsoft.com/office/drawing/2014/main" id="{1AB73BF7-F355-7C49-BDC1-261BFCDEA777}"/>
            </a:ext>
          </a:extLst>
        </xdr:cNvPr>
        <xdr:cNvGrpSpPr/>
      </xdr:nvGrpSpPr>
      <xdr:grpSpPr>
        <a:xfrm>
          <a:off x="8333019" y="7519909"/>
          <a:ext cx="1095606" cy="532646"/>
          <a:chOff x="5555564" y="1185937"/>
          <a:chExt cx="1971828" cy="534006"/>
        </a:xfrm>
        <a:solidFill>
          <a:schemeClr val="accent1"/>
        </a:solidFill>
      </xdr:grpSpPr>
      <xdr:sp macro="" textlink="'Simulador Rentabilidade'!B18">
        <xdr:nvSpPr>
          <xdr:cNvPr id="16" name="Rectangle: Rounded Corners 58">
            <a:extLst>
              <a:ext uri="{FF2B5EF4-FFF2-40B4-BE49-F238E27FC236}">
                <a16:creationId xmlns:a16="http://schemas.microsoft.com/office/drawing/2014/main" id="{0A3913B6-A86B-13B5-6AAB-86A496452353}"/>
              </a:ext>
            </a:extLst>
          </xdr:cNvPr>
          <xdr:cNvSpPr/>
        </xdr:nvSpPr>
        <xdr:spPr>
          <a:xfrm>
            <a:off x="5555564" y="1185937"/>
            <a:ext cx="1971828" cy="534006"/>
          </a:xfrm>
          <a:prstGeom prst="roundRect">
            <a:avLst/>
          </a:prstGeom>
          <a:grpFill/>
          <a:ln>
            <a:noFill/>
          </a:ln>
          <a:effectLst>
            <a:outerShdw blurRad="88900" dist="38100" dir="2700000" algn="tl" rotWithShape="0">
              <a:prstClr val="black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246C843-0379-4256-A9AD-E2D07E37F57E}" type="TxLink">
              <a:rPr lang="en-US" sz="11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R$ 1.620,00 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7" name="TextBox 59">
            <a:extLst>
              <a:ext uri="{FF2B5EF4-FFF2-40B4-BE49-F238E27FC236}">
                <a16:creationId xmlns:a16="http://schemas.microsoft.com/office/drawing/2014/main" id="{7C0A22D4-8E7D-2A18-A8C4-940E0F849D49}"/>
              </a:ext>
            </a:extLst>
          </xdr:cNvPr>
          <xdr:cNvSpPr txBox="1"/>
        </xdr:nvSpPr>
        <xdr:spPr>
          <a:xfrm>
            <a:off x="5580414" y="1429657"/>
            <a:ext cx="1922129" cy="265265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1100" b="0" i="1" u="none">
                <a:solidFill>
                  <a:schemeClr val="bg1"/>
                </a:solidFill>
              </a:rPr>
              <a:t>Custos</a:t>
            </a:r>
          </a:p>
        </xdr:txBody>
      </xdr:sp>
    </xdr:grpSp>
    <xdr:clientData/>
  </xdr:twoCellAnchor>
  <xdr:twoCellAnchor>
    <xdr:from>
      <xdr:col>5</xdr:col>
      <xdr:colOff>1126676</xdr:colOff>
      <xdr:row>39</xdr:row>
      <xdr:rowOff>40669</xdr:rowOff>
    </xdr:from>
    <xdr:to>
      <xdr:col>6</xdr:col>
      <xdr:colOff>725415</xdr:colOff>
      <xdr:row>42</xdr:row>
      <xdr:rowOff>50800</xdr:rowOff>
    </xdr:to>
    <xdr:grpSp>
      <xdr:nvGrpSpPr>
        <xdr:cNvPr id="18" name="Group 60">
          <a:extLst>
            <a:ext uri="{FF2B5EF4-FFF2-40B4-BE49-F238E27FC236}">
              <a16:creationId xmlns:a16="http://schemas.microsoft.com/office/drawing/2014/main" id="{39005AA5-004F-4C49-9192-B3360A560262}"/>
            </a:ext>
          </a:extLst>
        </xdr:cNvPr>
        <xdr:cNvGrpSpPr/>
      </xdr:nvGrpSpPr>
      <xdr:grpSpPr>
        <a:xfrm>
          <a:off x="8333019" y="6833355"/>
          <a:ext cx="1122739" cy="532645"/>
          <a:chOff x="5952975" y="3363080"/>
          <a:chExt cx="1122739" cy="534006"/>
        </a:xfrm>
        <a:solidFill>
          <a:srgbClr val="00B050"/>
        </a:solidFill>
      </xdr:grpSpPr>
      <xdr:sp macro="" textlink="'Simulador Rentabilidade'!B19">
        <xdr:nvSpPr>
          <xdr:cNvPr id="19" name="Rectangle: Rounded Corners 61">
            <a:extLst>
              <a:ext uri="{FF2B5EF4-FFF2-40B4-BE49-F238E27FC236}">
                <a16:creationId xmlns:a16="http://schemas.microsoft.com/office/drawing/2014/main" id="{9AE2C619-58F8-4B45-6CF2-E93236ABB8BC}"/>
              </a:ext>
            </a:extLst>
          </xdr:cNvPr>
          <xdr:cNvSpPr/>
        </xdr:nvSpPr>
        <xdr:spPr>
          <a:xfrm>
            <a:off x="5952975" y="3363080"/>
            <a:ext cx="1122739" cy="534006"/>
          </a:xfrm>
          <a:prstGeom prst="roundRect">
            <a:avLst/>
          </a:prstGeom>
          <a:grpFill/>
          <a:ln>
            <a:noFill/>
          </a:ln>
          <a:effectLst>
            <a:outerShdw blurRad="88900" dist="38100" dir="2700000" algn="tl" rotWithShape="0">
              <a:prstClr val="black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B7B0B21-F581-4F1B-8861-7C359FBC55AC}" type="TxLink">
              <a:rPr lang="en-US" sz="11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R$ 5.130,00 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20" name="TextBox 62">
            <a:extLst>
              <a:ext uri="{FF2B5EF4-FFF2-40B4-BE49-F238E27FC236}">
                <a16:creationId xmlns:a16="http://schemas.microsoft.com/office/drawing/2014/main" id="{073ABA98-A187-E7D6-39D2-4F3412384020}"/>
              </a:ext>
            </a:extLst>
          </xdr:cNvPr>
          <xdr:cNvSpPr txBox="1"/>
        </xdr:nvSpPr>
        <xdr:spPr>
          <a:xfrm>
            <a:off x="5997290" y="3606801"/>
            <a:ext cx="1034108" cy="23948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1" u="none">
                <a:solidFill>
                  <a:schemeClr val="bg1"/>
                </a:solidFill>
              </a:rPr>
              <a:t>Lucro Líquido</a:t>
            </a:r>
          </a:p>
        </xdr:txBody>
      </xdr:sp>
    </xdr:grpSp>
    <xdr:clientData/>
  </xdr:twoCellAnchor>
  <xdr:twoCellAnchor editAs="oneCell">
    <xdr:from>
      <xdr:col>4</xdr:col>
      <xdr:colOff>1270004</xdr:colOff>
      <xdr:row>39</xdr:row>
      <xdr:rowOff>76955</xdr:rowOff>
    </xdr:from>
    <xdr:to>
      <xdr:col>5</xdr:col>
      <xdr:colOff>709390</xdr:colOff>
      <xdr:row>42</xdr:row>
      <xdr:rowOff>18658</xdr:rowOff>
    </xdr:to>
    <xdr:pic>
      <xdr:nvPicPr>
        <xdr:cNvPr id="21" name="Picture 63">
          <a:extLst>
            <a:ext uri="{FF2B5EF4-FFF2-40B4-BE49-F238E27FC236}">
              <a16:creationId xmlns:a16="http://schemas.microsoft.com/office/drawing/2014/main" id="{8316C95E-D470-7240-94F5-B9DF18D0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6861" y="7152669"/>
          <a:ext cx="963386" cy="485989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>
    <xdr:from>
      <xdr:col>5</xdr:col>
      <xdr:colOff>212271</xdr:colOff>
      <xdr:row>53</xdr:row>
      <xdr:rowOff>152400</xdr:rowOff>
    </xdr:from>
    <xdr:to>
      <xdr:col>5</xdr:col>
      <xdr:colOff>457200</xdr:colOff>
      <xdr:row>57</xdr:row>
      <xdr:rowOff>130629</xdr:rowOff>
    </xdr:to>
    <xdr:sp macro="" textlink="">
      <xdr:nvSpPr>
        <xdr:cNvPr id="22" name="Right Brace 68">
          <a:extLst>
            <a:ext uri="{FF2B5EF4-FFF2-40B4-BE49-F238E27FC236}">
              <a16:creationId xmlns:a16="http://schemas.microsoft.com/office/drawing/2014/main" id="{E851E771-6A2E-2E47-A69A-0477F1B8D42E}"/>
            </a:ext>
          </a:extLst>
        </xdr:cNvPr>
        <xdr:cNvSpPr/>
      </xdr:nvSpPr>
      <xdr:spPr>
        <a:xfrm>
          <a:off x="5876471" y="9626600"/>
          <a:ext cx="244929" cy="89262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219528</xdr:colOff>
      <xdr:row>57</xdr:row>
      <xdr:rowOff>143328</xdr:rowOff>
    </xdr:from>
    <xdr:to>
      <xdr:col>5</xdr:col>
      <xdr:colOff>439057</xdr:colOff>
      <xdr:row>59</xdr:row>
      <xdr:rowOff>25400</xdr:rowOff>
    </xdr:to>
    <xdr:sp macro="" textlink="">
      <xdr:nvSpPr>
        <xdr:cNvPr id="23" name="Right Brace 69">
          <a:extLst>
            <a:ext uri="{FF2B5EF4-FFF2-40B4-BE49-F238E27FC236}">
              <a16:creationId xmlns:a16="http://schemas.microsoft.com/office/drawing/2014/main" id="{42BE532D-E23E-1744-9902-AE93215BB46A}"/>
            </a:ext>
          </a:extLst>
        </xdr:cNvPr>
        <xdr:cNvSpPr/>
      </xdr:nvSpPr>
      <xdr:spPr>
        <a:xfrm>
          <a:off x="5883728" y="10531928"/>
          <a:ext cx="219529" cy="33927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546703</xdr:colOff>
      <xdr:row>55</xdr:row>
      <xdr:rowOff>38633</xdr:rowOff>
    </xdr:from>
    <xdr:to>
      <xdr:col>6</xdr:col>
      <xdr:colOff>546100</xdr:colOff>
      <xdr:row>56</xdr:row>
      <xdr:rowOff>36286</xdr:rowOff>
    </xdr:to>
    <xdr:sp macro="" textlink="'Simulador Rentabilidade'!I32">
      <xdr:nvSpPr>
        <xdr:cNvPr id="24" name="Rectangle: Rounded Corners 71">
          <a:extLst>
            <a:ext uri="{FF2B5EF4-FFF2-40B4-BE49-F238E27FC236}">
              <a16:creationId xmlns:a16="http://schemas.microsoft.com/office/drawing/2014/main" id="{205E8520-CAFC-614F-BC72-6E971478498B}"/>
            </a:ext>
          </a:extLst>
        </xdr:cNvPr>
        <xdr:cNvSpPr/>
      </xdr:nvSpPr>
      <xdr:spPr>
        <a:xfrm>
          <a:off x="6210903" y="9970033"/>
          <a:ext cx="1523397" cy="226253"/>
        </a:xfrm>
        <a:prstGeom prst="roundRect">
          <a:avLst/>
        </a:prstGeom>
        <a:solidFill>
          <a:schemeClr val="accent1">
            <a:alpha val="56000"/>
          </a:schemeClr>
        </a:solidFill>
        <a:ln>
          <a:noFill/>
        </a:ln>
        <a:effectLst>
          <a:outerShdw blurRad="88900" dist="38100" dir="2700000" algn="tl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15DDB19-805B-4FEE-B40C-C9412F5AE7EC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30,00%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546703</xdr:colOff>
      <xdr:row>57</xdr:row>
      <xdr:rowOff>172890</xdr:rowOff>
    </xdr:from>
    <xdr:to>
      <xdr:col>6</xdr:col>
      <xdr:colOff>546100</xdr:colOff>
      <xdr:row>58</xdr:row>
      <xdr:rowOff>219528</xdr:rowOff>
    </xdr:to>
    <xdr:sp macro="" textlink="'Simulador Rentabilidade'!I34">
      <xdr:nvSpPr>
        <xdr:cNvPr id="25" name="Rectangle: Rounded Corners 73">
          <a:extLst>
            <a:ext uri="{FF2B5EF4-FFF2-40B4-BE49-F238E27FC236}">
              <a16:creationId xmlns:a16="http://schemas.microsoft.com/office/drawing/2014/main" id="{798E655B-1044-454F-A538-DD55D11D440E}"/>
            </a:ext>
          </a:extLst>
        </xdr:cNvPr>
        <xdr:cNvSpPr/>
      </xdr:nvSpPr>
      <xdr:spPr>
        <a:xfrm>
          <a:off x="6210903" y="10561490"/>
          <a:ext cx="1523397" cy="275238"/>
        </a:xfrm>
        <a:prstGeom prst="roundRect">
          <a:avLst/>
        </a:prstGeom>
        <a:solidFill>
          <a:schemeClr val="accent1">
            <a:alpha val="56000"/>
          </a:schemeClr>
        </a:solidFill>
        <a:ln>
          <a:noFill/>
        </a:ln>
        <a:effectLst>
          <a:outerShdw blurRad="88900" dist="38100" dir="2700000" algn="tl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44E0948-5AEE-4DCD-A5CB-0FE184ED0B6B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70,00%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252243</xdr:colOff>
      <xdr:row>0</xdr:row>
      <xdr:rowOff>136674</xdr:rowOff>
    </xdr:from>
    <xdr:to>
      <xdr:col>1</xdr:col>
      <xdr:colOff>1186543</xdr:colOff>
      <xdr:row>7</xdr:row>
      <xdr:rowOff>99556</xdr:rowOff>
    </xdr:to>
    <xdr:pic>
      <xdr:nvPicPr>
        <xdr:cNvPr id="26" name="Gráfico 25">
          <a:extLst>
            <a:ext uri="{FF2B5EF4-FFF2-40B4-BE49-F238E27FC236}">
              <a16:creationId xmlns:a16="http://schemas.microsoft.com/office/drawing/2014/main" id="{73041B32-C3E8-0B45-AD28-8AB34B9E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2243" y="136674"/>
          <a:ext cx="2549014" cy="1232882"/>
        </a:xfrm>
        <a:prstGeom prst="rect">
          <a:avLst/>
        </a:prstGeom>
      </xdr:spPr>
    </xdr:pic>
    <xdr:clientData/>
  </xdr:twoCellAnchor>
  <xdr:twoCellAnchor>
    <xdr:from>
      <xdr:col>0</xdr:col>
      <xdr:colOff>170543</xdr:colOff>
      <xdr:row>13</xdr:row>
      <xdr:rowOff>163286</xdr:rowOff>
    </xdr:from>
    <xdr:to>
      <xdr:col>2</xdr:col>
      <xdr:colOff>925286</xdr:colOff>
      <xdr:row>28</xdr:row>
      <xdr:rowOff>175986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A71F607E-4BAE-7530-7945-F757FA99313E}"/>
            </a:ext>
          </a:extLst>
        </xdr:cNvPr>
        <xdr:cNvGrpSpPr/>
      </xdr:nvGrpSpPr>
      <xdr:grpSpPr>
        <a:xfrm>
          <a:off x="170543" y="2427515"/>
          <a:ext cx="3889829" cy="2625271"/>
          <a:chOff x="152400" y="2280558"/>
          <a:chExt cx="3529391" cy="3265714"/>
        </a:xfrm>
        <a:solidFill>
          <a:schemeClr val="accent2"/>
        </a:solidFill>
      </xdr:grpSpPr>
      <xdr:sp macro="" textlink="'Simulador Rentabilidade'!B25">
        <xdr:nvSpPr>
          <xdr:cNvPr id="34" name="Rectangle: Rounded Corners 34">
            <a:extLst>
              <a:ext uri="{FF2B5EF4-FFF2-40B4-BE49-F238E27FC236}">
                <a16:creationId xmlns:a16="http://schemas.microsoft.com/office/drawing/2014/main" id="{C673114B-A435-A764-0163-A1A2733F27B7}"/>
              </a:ext>
            </a:extLst>
          </xdr:cNvPr>
          <xdr:cNvSpPr/>
        </xdr:nvSpPr>
        <xdr:spPr>
          <a:xfrm>
            <a:off x="152400" y="2280558"/>
            <a:ext cx="3529391" cy="3265714"/>
          </a:xfrm>
          <a:prstGeom prst="roundRect">
            <a:avLst/>
          </a:prstGeom>
          <a:grpFill/>
          <a:ln>
            <a:noFill/>
          </a:ln>
          <a:effectLst>
            <a:outerShdw blurRad="88900" dist="38100" dir="2700000" algn="tl" rotWithShape="0">
              <a:prstClr val="black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93EEA6E-C9F8-6E47-86C2-F007CBC45CFB}" type="TxLink">
              <a:rPr lang="en-US" sz="2800" b="1" i="0" u="none" strike="noStrike">
                <a:solidFill>
                  <a:schemeClr val="bg1"/>
                </a:solidFill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Century Gothic"/>
              </a:rPr>
              <a:pPr algn="ctr"/>
              <a:t> R$ 541.200,00 </a:t>
            </a:fld>
            <a:endParaRPr lang="en-US" sz="2800" b="1"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'Simulador Rentabilidade'!B24">
        <xdr:nvSpPr>
          <xdr:cNvPr id="35" name="CaixaDeTexto 34">
            <a:extLst>
              <a:ext uri="{FF2B5EF4-FFF2-40B4-BE49-F238E27FC236}">
                <a16:creationId xmlns:a16="http://schemas.microsoft.com/office/drawing/2014/main" id="{3E42A019-F825-60F7-33AE-06ECA9B8B7E3}"/>
              </a:ext>
            </a:extLst>
          </xdr:cNvPr>
          <xdr:cNvSpPr txBox="1"/>
        </xdr:nvSpPr>
        <xdr:spPr>
          <a:xfrm>
            <a:off x="159830" y="2685000"/>
            <a:ext cx="3521961" cy="2239231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  <a:scene3d>
              <a:camera prst="orthographicFront"/>
              <a:lightRig rig="threePt" dir="t"/>
            </a:scene3d>
            <a:sp3d extrusionH="57150" contourW="12700">
              <a:bevelB w="63500" h="114300" prst="angle"/>
              <a:extrusionClr>
                <a:schemeClr val="bg1">
                  <a:lumMod val="95000"/>
                </a:schemeClr>
              </a:extrusionClr>
              <a:contourClr>
                <a:schemeClr val="bg1">
                  <a:lumMod val="95000"/>
                </a:schemeClr>
              </a:contourClr>
            </a:sp3d>
          </a:bodyPr>
          <a:lstStyle/>
          <a:p>
            <a:pPr algn="ctr"/>
            <a:fld id="{399A1FE7-2561-F14D-BE3D-D2EFCC25FFBE}" type="TxLink">
              <a:rPr lang="en-US" sz="12000" b="1" i="0" u="none" strike="noStrike">
                <a:solidFill>
                  <a:schemeClr val="bg1">
                    <a:lumMod val="95000"/>
                  </a:schemeClr>
                </a:solidFill>
                <a:latin typeface="Avenir Black" panose="02000503020000020003" pitchFamily="2" charset="0"/>
              </a:rPr>
              <a:pPr algn="ctr"/>
              <a:t>32%</a:t>
            </a:fld>
            <a:endParaRPr lang="pt-BR" sz="12000" b="1" i="0">
              <a:solidFill>
                <a:schemeClr val="bg1">
                  <a:lumMod val="95000"/>
                </a:schemeClr>
              </a:solidFill>
              <a:latin typeface="Avenir Black" panose="02000503020000020003" pitchFamily="2" charset="0"/>
            </a:endParaRPr>
          </a:p>
        </xdr:txBody>
      </xdr:sp>
      <xdr:sp macro="" textlink="'Simulador Rentabilidade'!A25">
        <xdr:nvSpPr>
          <xdr:cNvPr id="36" name="Retângulo 35">
            <a:extLst>
              <a:ext uri="{FF2B5EF4-FFF2-40B4-BE49-F238E27FC236}">
                <a16:creationId xmlns:a16="http://schemas.microsoft.com/office/drawing/2014/main" id="{7D0379CC-F7A4-BC7B-A4BE-3A7A88A400AB}"/>
              </a:ext>
            </a:extLst>
          </xdr:cNvPr>
          <xdr:cNvSpPr/>
        </xdr:nvSpPr>
        <xdr:spPr>
          <a:xfrm>
            <a:off x="342705" y="4457701"/>
            <a:ext cx="3339086" cy="362857"/>
          </a:xfrm>
          <a:prstGeom prst="rect">
            <a:avLst/>
          </a:prstGeom>
          <a:grpFill/>
          <a:ln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F5C6034-5DAC-6145-ABA6-4B8A2640EB65}" type="TxLink">
              <a:rPr lang="en-US" sz="1400" b="1" i="0" u="none" strike="noStrike">
                <a:ln>
                  <a:noFill/>
                </a:ln>
                <a:solidFill>
                  <a:schemeClr val="bg1"/>
                </a:solidFill>
                <a:latin typeface="Century Gothic"/>
              </a:rPr>
              <a:pPr algn="ctr"/>
              <a:t>Média valor do ativo na Entrega</a:t>
            </a:fld>
            <a:endParaRPr lang="pt-BR" sz="1400" b="1">
              <a:ln>
                <a:noFill/>
              </a:ln>
              <a:solidFill>
                <a:schemeClr val="bg1"/>
              </a:solidFill>
            </a:endParaRPr>
          </a:p>
        </xdr:txBody>
      </xdr:sp>
      <xdr:sp macro="" textlink="'Simulador Rentabilidade'!A24">
        <xdr:nvSpPr>
          <xdr:cNvPr id="37" name="Retângulo 36">
            <a:extLst>
              <a:ext uri="{FF2B5EF4-FFF2-40B4-BE49-F238E27FC236}">
                <a16:creationId xmlns:a16="http://schemas.microsoft.com/office/drawing/2014/main" id="{146FE635-F23E-4B6F-D211-0BADB5D56F37}"/>
              </a:ext>
            </a:extLst>
          </xdr:cNvPr>
          <xdr:cNvSpPr/>
        </xdr:nvSpPr>
        <xdr:spPr>
          <a:xfrm>
            <a:off x="244081" y="2483011"/>
            <a:ext cx="3339086" cy="349897"/>
          </a:xfrm>
          <a:prstGeom prst="rect">
            <a:avLst/>
          </a:prstGeom>
          <a:grpFill/>
          <a:ln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EC0C261-51CC-5747-B227-B8B5B6726DE0}" type="TxLink">
              <a:rPr lang="en-US" sz="1400" b="1" i="0" u="none" strike="noStrike">
                <a:ln>
                  <a:noFill/>
                </a:ln>
                <a:solidFill>
                  <a:schemeClr val="bg1"/>
                </a:solidFill>
                <a:latin typeface="Century Gothic"/>
              </a:rPr>
              <a:pPr algn="ctr"/>
              <a:t> Média valorização no periodo de obra</a:t>
            </a:fld>
            <a:endParaRPr lang="pt-BR" sz="1400" b="1">
              <a:ln>
                <a:noFill/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119590</xdr:colOff>
      <xdr:row>7</xdr:row>
      <xdr:rowOff>50799</xdr:rowOff>
    </xdr:from>
    <xdr:to>
      <xdr:col>6</xdr:col>
      <xdr:colOff>812800</xdr:colOff>
      <xdr:row>11</xdr:row>
      <xdr:rowOff>63500</xdr:rowOff>
    </xdr:to>
    <xdr:sp macro="" textlink="">
      <xdr:nvSpPr>
        <xdr:cNvPr id="42" name="Rectangle: Rounded Corners 37">
          <a:extLst>
            <a:ext uri="{FF2B5EF4-FFF2-40B4-BE49-F238E27FC236}">
              <a16:creationId xmlns:a16="http://schemas.microsoft.com/office/drawing/2014/main" id="{0F264807-F42C-E33D-0A64-24AFE9BF1266}"/>
            </a:ext>
          </a:extLst>
        </xdr:cNvPr>
        <xdr:cNvSpPr/>
      </xdr:nvSpPr>
      <xdr:spPr>
        <a:xfrm>
          <a:off x="7325933" y="1269999"/>
          <a:ext cx="2217210" cy="709387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88900" dist="38100" dir="2700000" algn="tl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 R$ 374.391,83 </a:t>
          </a:r>
        </a:p>
      </xdr:txBody>
    </xdr:sp>
    <xdr:clientData/>
  </xdr:twoCellAnchor>
  <xdr:twoCellAnchor>
    <xdr:from>
      <xdr:col>5</xdr:col>
      <xdr:colOff>419476</xdr:colOff>
      <xdr:row>9</xdr:row>
      <xdr:rowOff>115669</xdr:rowOff>
    </xdr:from>
    <xdr:to>
      <xdr:col>6</xdr:col>
      <xdr:colOff>580571</xdr:colOff>
      <xdr:row>11</xdr:row>
      <xdr:rowOff>90714</xdr:rowOff>
    </xdr:to>
    <xdr:sp macro="" textlink="">
      <xdr:nvSpPr>
        <xdr:cNvPr id="43" name="TextBox 38">
          <a:extLst>
            <a:ext uri="{FF2B5EF4-FFF2-40B4-BE49-F238E27FC236}">
              <a16:creationId xmlns:a16="http://schemas.microsoft.com/office/drawing/2014/main" id="{5CD01290-1532-CE58-0BA2-DBE38BEAE79F}"/>
            </a:ext>
          </a:extLst>
        </xdr:cNvPr>
        <xdr:cNvSpPr txBox="1"/>
      </xdr:nvSpPr>
      <xdr:spPr>
        <a:xfrm>
          <a:off x="7640333" y="1748526"/>
          <a:ext cx="1685095" cy="3379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 i="1" u="none">
              <a:solidFill>
                <a:schemeClr val="bg1"/>
              </a:solidFill>
            </a:rPr>
            <a:t>Valor</a:t>
          </a:r>
          <a:r>
            <a:rPr lang="en-US" sz="1100" b="1" i="1" u="none" baseline="0">
              <a:solidFill>
                <a:schemeClr val="bg1"/>
              </a:solidFill>
            </a:rPr>
            <a:t> Total do imóvel</a:t>
          </a:r>
          <a:endParaRPr lang="en-US" sz="1100" b="1" i="1" u="none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142170</xdr:colOff>
      <xdr:row>7</xdr:row>
      <xdr:rowOff>57150</xdr:rowOff>
    </xdr:from>
    <xdr:to>
      <xdr:col>3</xdr:col>
      <xdr:colOff>152400</xdr:colOff>
      <xdr:row>11</xdr:row>
      <xdr:rowOff>156029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3CFBB0AF-F049-9249-98C8-D715CBF978C4}"/>
            </a:ext>
          </a:extLst>
        </xdr:cNvPr>
        <xdr:cNvGrpSpPr/>
      </xdr:nvGrpSpPr>
      <xdr:grpSpPr>
        <a:xfrm>
          <a:off x="142170" y="1276350"/>
          <a:ext cx="4157687" cy="795565"/>
          <a:chOff x="5679370" y="1323521"/>
          <a:chExt cx="3032830" cy="810079"/>
        </a:xfrm>
      </xdr:grpSpPr>
      <xdr:sp macro="" textlink="'Simulador Rentabilidade'!B21">
        <xdr:nvSpPr>
          <xdr:cNvPr id="45" name="Rectangle: Rounded Corners 40">
            <a:extLst>
              <a:ext uri="{FF2B5EF4-FFF2-40B4-BE49-F238E27FC236}">
                <a16:creationId xmlns:a16="http://schemas.microsoft.com/office/drawing/2014/main" id="{0EB152DA-AFCE-6BF4-F366-FF8FCC022F19}"/>
              </a:ext>
            </a:extLst>
          </xdr:cNvPr>
          <xdr:cNvSpPr/>
        </xdr:nvSpPr>
        <xdr:spPr>
          <a:xfrm>
            <a:off x="5679370" y="1323521"/>
            <a:ext cx="2984500" cy="708479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  <a:effectLst>
            <a:outerShdw blurRad="88900" dist="38100" dir="2700000" algn="tl" rotWithShape="0">
              <a:prstClr val="black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4FEF7FA-2344-3044-B78C-83A4335A703C}" type="TxLink">
              <a:rPr lang="en-US" sz="1800" b="1" i="0" u="none" strike="noStrike">
                <a:solidFill>
                  <a:schemeClr val="bg1"/>
                </a:solidFill>
                <a:latin typeface="Century Gothic"/>
              </a:rPr>
              <a:pPr algn="ctr"/>
              <a:t>16%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46" name="TextBox 41">
            <a:extLst>
              <a:ext uri="{FF2B5EF4-FFF2-40B4-BE49-F238E27FC236}">
                <a16:creationId xmlns:a16="http://schemas.microsoft.com/office/drawing/2014/main" id="{427D7A95-C9C2-B92E-B6B2-DB6517AF78D0}"/>
              </a:ext>
            </a:extLst>
          </xdr:cNvPr>
          <xdr:cNvSpPr txBox="1"/>
        </xdr:nvSpPr>
        <xdr:spPr>
          <a:xfrm>
            <a:off x="5791200" y="1701693"/>
            <a:ext cx="2921000" cy="4319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1100" b="1" i="1" u="none">
                <a:solidFill>
                  <a:schemeClr val="bg1"/>
                </a:solidFill>
              </a:rPr>
              <a:t>Rentabildade</a:t>
            </a:r>
            <a:r>
              <a:rPr lang="en-US" sz="1100" b="1" i="1" u="none" baseline="0">
                <a:solidFill>
                  <a:schemeClr val="bg1"/>
                </a:solidFill>
              </a:rPr>
              <a:t> anual </a:t>
            </a:r>
            <a:r>
              <a:rPr lang="en-US" sz="1100" b="1" i="1" u="none">
                <a:solidFill>
                  <a:schemeClr val="bg1"/>
                </a:solidFill>
              </a:rPr>
              <a:t>sobre patriomônio </a:t>
            </a:r>
          </a:p>
        </xdr:txBody>
      </xdr:sp>
    </xdr:grpSp>
    <xdr:clientData/>
  </xdr:twoCellAnchor>
  <xdr:twoCellAnchor>
    <xdr:from>
      <xdr:col>3</xdr:col>
      <xdr:colOff>76199</xdr:colOff>
      <xdr:row>7</xdr:row>
      <xdr:rowOff>63500</xdr:rowOff>
    </xdr:from>
    <xdr:to>
      <xdr:col>5</xdr:col>
      <xdr:colOff>36285</xdr:colOff>
      <xdr:row>11</xdr:row>
      <xdr:rowOff>175079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C960CF26-E1FE-9543-9E2A-7DB89986F416}"/>
            </a:ext>
          </a:extLst>
        </xdr:cNvPr>
        <xdr:cNvGrpSpPr/>
      </xdr:nvGrpSpPr>
      <xdr:grpSpPr>
        <a:xfrm>
          <a:off x="4223656" y="1282700"/>
          <a:ext cx="3018972" cy="808265"/>
          <a:chOff x="8750299" y="1310821"/>
          <a:chExt cx="3747280" cy="822779"/>
        </a:xfrm>
      </xdr:grpSpPr>
      <xdr:sp macro="" textlink="'Simulador Rentabilidade'!B23">
        <xdr:nvSpPr>
          <xdr:cNvPr id="48" name="Rectangle: Rounded Corners 40">
            <a:extLst>
              <a:ext uri="{FF2B5EF4-FFF2-40B4-BE49-F238E27FC236}">
                <a16:creationId xmlns:a16="http://schemas.microsoft.com/office/drawing/2014/main" id="{91C5BD47-903B-60DD-D616-DC63C1D7C2F6}"/>
              </a:ext>
            </a:extLst>
          </xdr:cNvPr>
          <xdr:cNvSpPr/>
        </xdr:nvSpPr>
        <xdr:spPr>
          <a:xfrm>
            <a:off x="8915400" y="1310821"/>
            <a:ext cx="3568700" cy="708479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  <a:effectLst>
            <a:outerShdw blurRad="88900" dist="38100" dir="2700000" algn="tl" rotWithShape="0">
              <a:prstClr val="black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5CAB45B-009F-7A45-8F3A-4B0860EB6241}" type="TxLink">
              <a:rPr lang="en-US" sz="1800" b="1" i="0" u="none" strike="noStrike">
                <a:solidFill>
                  <a:schemeClr val="bg1"/>
                </a:solidFill>
                <a:latin typeface="Century Gothic"/>
              </a:rPr>
              <a:pPr algn="ctr"/>
              <a:t>50%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49" name="TextBox 41">
            <a:extLst>
              <a:ext uri="{FF2B5EF4-FFF2-40B4-BE49-F238E27FC236}">
                <a16:creationId xmlns:a16="http://schemas.microsoft.com/office/drawing/2014/main" id="{37A678A4-DC9B-EFCD-1766-64EBC734E606}"/>
              </a:ext>
            </a:extLst>
          </xdr:cNvPr>
          <xdr:cNvSpPr txBox="1"/>
        </xdr:nvSpPr>
        <xdr:spPr>
          <a:xfrm>
            <a:off x="8750299" y="1701693"/>
            <a:ext cx="3747280" cy="4319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1100" b="1" i="1" u="none">
                <a:solidFill>
                  <a:schemeClr val="bg1"/>
                </a:solidFill>
              </a:rPr>
              <a:t>Rentabildade</a:t>
            </a:r>
            <a:r>
              <a:rPr lang="en-US" sz="1100" b="1" i="1" u="none" baseline="0">
                <a:solidFill>
                  <a:schemeClr val="bg1"/>
                </a:solidFill>
              </a:rPr>
              <a:t> anual </a:t>
            </a:r>
            <a:r>
              <a:rPr lang="en-US" sz="1100" b="1" i="1" u="none">
                <a:solidFill>
                  <a:schemeClr val="bg1"/>
                </a:solidFill>
              </a:rPr>
              <a:t>sobre aporte </a:t>
            </a:r>
          </a:p>
        </xdr:txBody>
      </xdr:sp>
    </xdr:grpSp>
    <xdr:clientData/>
  </xdr:twoCellAnchor>
  <xdr:twoCellAnchor>
    <xdr:from>
      <xdr:col>3</xdr:col>
      <xdr:colOff>489856</xdr:colOff>
      <xdr:row>13</xdr:row>
      <xdr:rowOff>163286</xdr:rowOff>
    </xdr:from>
    <xdr:to>
      <xdr:col>6</xdr:col>
      <xdr:colOff>1233711</xdr:colOff>
      <xdr:row>31</xdr:row>
      <xdr:rowOff>126998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55608FB9-78D5-BF45-AD1C-128C93898168}"/>
            </a:ext>
          </a:extLst>
        </xdr:cNvPr>
        <xdr:cNvGrpSpPr/>
      </xdr:nvGrpSpPr>
      <xdr:grpSpPr>
        <a:xfrm>
          <a:off x="4637313" y="2427515"/>
          <a:ext cx="5326741" cy="3098797"/>
          <a:chOff x="567770" y="1296014"/>
          <a:chExt cx="2612462" cy="872811"/>
        </a:xfrm>
        <a:solidFill>
          <a:srgbClr val="92D050"/>
        </a:solidFill>
      </xdr:grpSpPr>
      <xdr:sp macro="" textlink="'Simulador Rentabilidade'!B19">
        <xdr:nvSpPr>
          <xdr:cNvPr id="51" name="Rectangle: Rounded Corners 34">
            <a:extLst>
              <a:ext uri="{FF2B5EF4-FFF2-40B4-BE49-F238E27FC236}">
                <a16:creationId xmlns:a16="http://schemas.microsoft.com/office/drawing/2014/main" id="{6F18A06B-0A62-9A7C-1676-4CEA695CCF1D}"/>
              </a:ext>
            </a:extLst>
          </xdr:cNvPr>
          <xdr:cNvSpPr/>
        </xdr:nvSpPr>
        <xdr:spPr>
          <a:xfrm>
            <a:off x="567770" y="1296014"/>
            <a:ext cx="2406348" cy="746580"/>
          </a:xfrm>
          <a:prstGeom prst="roundRect">
            <a:avLst/>
          </a:prstGeom>
          <a:grpFill/>
          <a:ln>
            <a:noFill/>
          </a:ln>
          <a:effectLst>
            <a:outerShdw blurRad="88900" dist="38100" dir="2700000" algn="tl" rotWithShape="0">
              <a:prstClr val="black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2D81D54-A068-5743-BF2D-16BF8E4F0B9C}" type="TxLink">
              <a:rPr lang="en-US" sz="60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R$ 5.130,00 </a:t>
            </a:fld>
            <a:endParaRPr lang="en-US" sz="6000" b="1">
              <a:solidFill>
                <a:schemeClr val="bg1"/>
              </a:solidFill>
            </a:endParaRPr>
          </a:p>
        </xdr:txBody>
      </xdr:sp>
      <xdr:sp macro="" textlink="">
        <xdr:nvSpPr>
          <xdr:cNvPr id="52" name="TextBox 35">
            <a:extLst>
              <a:ext uri="{FF2B5EF4-FFF2-40B4-BE49-F238E27FC236}">
                <a16:creationId xmlns:a16="http://schemas.microsoft.com/office/drawing/2014/main" id="{48D97A37-B73E-E995-4948-0B91A2E2061D}"/>
              </a:ext>
            </a:extLst>
          </xdr:cNvPr>
          <xdr:cNvSpPr txBox="1"/>
        </xdr:nvSpPr>
        <xdr:spPr>
          <a:xfrm>
            <a:off x="1211776" y="1797965"/>
            <a:ext cx="1968456" cy="3708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2800" b="1" i="1" u="none">
                <a:solidFill>
                  <a:schemeClr val="bg1"/>
                </a:solidFill>
              </a:rPr>
              <a:t>Rentabilidade</a:t>
            </a:r>
          </a:p>
          <a:p>
            <a:pPr algn="ctr"/>
            <a:endParaRPr lang="en-US" sz="2800" b="1" i="1" u="none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19352</xdr:colOff>
      <xdr:row>7</xdr:row>
      <xdr:rowOff>78920</xdr:rowOff>
    </xdr:from>
    <xdr:to>
      <xdr:col>4</xdr:col>
      <xdr:colOff>546100</xdr:colOff>
      <xdr:row>11</xdr:row>
      <xdr:rowOff>114300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3DEE44E-CFEC-6637-B9DD-B8FB49D557F7}"/>
            </a:ext>
          </a:extLst>
        </xdr:cNvPr>
        <xdr:cNvGrpSpPr/>
      </xdr:nvGrpSpPr>
      <xdr:grpSpPr>
        <a:xfrm>
          <a:off x="603552" y="1323520"/>
          <a:ext cx="4082748" cy="746580"/>
          <a:chOff x="603552" y="1323520"/>
          <a:chExt cx="2406348" cy="746580"/>
        </a:xfrm>
      </xdr:grpSpPr>
      <xdr:sp macro="" textlink="'Simulador Rentabilidade'!B16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F34C4F3B-7905-875A-32DC-86EAAE56BC44}"/>
              </a:ext>
            </a:extLst>
          </xdr:cNvPr>
          <xdr:cNvSpPr/>
        </xdr:nvSpPr>
        <xdr:spPr>
          <a:xfrm>
            <a:off x="603552" y="1323520"/>
            <a:ext cx="2406348" cy="74658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16E4CDC-7235-4B1B-9031-5C8FA7EF2B36}" type="TxLink">
              <a:rPr lang="en-US" sz="18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R$ 410.000,00 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87368666-AD49-CD1E-D4F1-11CD69429C9E}"/>
              </a:ext>
            </a:extLst>
          </xdr:cNvPr>
          <xdr:cNvSpPr txBox="1"/>
        </xdr:nvSpPr>
        <xdr:spPr>
          <a:xfrm>
            <a:off x="815012" y="1676957"/>
            <a:ext cx="1968456" cy="3708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1100" b="1" i="1" u="none">
                <a:solidFill>
                  <a:schemeClr val="bg1"/>
                </a:solidFill>
              </a:rPr>
              <a:t>Valor total do imóvel</a:t>
            </a:r>
          </a:p>
        </xdr:txBody>
      </xdr:sp>
    </xdr:grpSp>
    <xdr:clientData/>
  </xdr:twoCellAnchor>
  <xdr:twoCellAnchor>
    <xdr:from>
      <xdr:col>6</xdr:col>
      <xdr:colOff>1016000</xdr:colOff>
      <xdr:row>13</xdr:row>
      <xdr:rowOff>28120</xdr:rowOff>
    </xdr:from>
    <xdr:to>
      <xdr:col>11</xdr:col>
      <xdr:colOff>673100</xdr:colOff>
      <xdr:row>24</xdr:row>
      <xdr:rowOff>152400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8D37AE0-B322-1299-A299-7CD3AC8C4F45}"/>
            </a:ext>
          </a:extLst>
        </xdr:cNvPr>
        <xdr:cNvGrpSpPr/>
      </xdr:nvGrpSpPr>
      <xdr:grpSpPr>
        <a:xfrm>
          <a:off x="8204200" y="2339520"/>
          <a:ext cx="4406900" cy="2080080"/>
          <a:chOff x="3161349" y="1323520"/>
          <a:chExt cx="2380734" cy="898615"/>
        </a:xfrm>
        <a:solidFill>
          <a:srgbClr val="92D050"/>
        </a:solidFill>
      </xdr:grpSpPr>
      <xdr:sp macro="" textlink="'Simulador Rentabilidade'!B19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FA6BB58D-72AE-5076-B638-047F99BD8462}"/>
              </a:ext>
            </a:extLst>
          </xdr:cNvPr>
          <xdr:cNvSpPr/>
        </xdr:nvSpPr>
        <xdr:spPr>
          <a:xfrm>
            <a:off x="3261430" y="1323520"/>
            <a:ext cx="2166410" cy="746580"/>
          </a:xfrm>
          <a:prstGeom prst="roundRect">
            <a:avLst/>
          </a:prstGeom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326E440-E455-F949-8392-A1CC7BD60FE0}" type="TxLink">
              <a:rPr lang="en-US" sz="48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R$ 5.130,00 </a:t>
            </a:fld>
            <a:endParaRPr lang="en-US" sz="4800" b="1">
              <a:solidFill>
                <a:schemeClr val="bg1"/>
              </a:solidFill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DFDDFF80-3A0B-8BFA-4826-3FDB5EA9E5B7}"/>
              </a:ext>
            </a:extLst>
          </xdr:cNvPr>
          <xdr:cNvSpPr txBox="1"/>
        </xdr:nvSpPr>
        <xdr:spPr>
          <a:xfrm>
            <a:off x="3161349" y="1851275"/>
            <a:ext cx="2380734" cy="3708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1400" b="0" i="1" u="none">
                <a:solidFill>
                  <a:schemeClr val="bg1"/>
                </a:solidFill>
              </a:rPr>
              <a:t>Expectativa</a:t>
            </a:r>
            <a:r>
              <a:rPr lang="en-US" sz="1400" b="0" i="1" u="none" baseline="0">
                <a:solidFill>
                  <a:schemeClr val="bg1"/>
                </a:solidFill>
              </a:rPr>
              <a:t> de </a:t>
            </a:r>
            <a:r>
              <a:rPr lang="en-US" sz="1400" b="0" i="1" u="none">
                <a:solidFill>
                  <a:schemeClr val="bg1"/>
                </a:solidFill>
              </a:rPr>
              <a:t>Rentabilidade a.m</a:t>
            </a:r>
          </a:p>
          <a:p>
            <a:pPr algn="ctr"/>
            <a:endParaRPr lang="en-US" sz="1400" b="0" i="1" u="none">
              <a:solidFill>
                <a:schemeClr val="bg1"/>
              </a:solidFill>
            </a:endParaRPr>
          </a:p>
          <a:p>
            <a:pPr algn="ctr"/>
            <a:endParaRPr lang="en-US" sz="1400" b="0" i="1" u="none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698500</xdr:colOff>
      <xdr:row>7</xdr:row>
      <xdr:rowOff>91621</xdr:rowOff>
    </xdr:from>
    <xdr:to>
      <xdr:col>6</xdr:col>
      <xdr:colOff>1463466</xdr:colOff>
      <xdr:row>12</xdr:row>
      <xdr:rowOff>12700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81847A78-531B-D6D8-29C5-C31326924210}"/>
            </a:ext>
          </a:extLst>
        </xdr:cNvPr>
        <xdr:cNvGrpSpPr/>
      </xdr:nvGrpSpPr>
      <xdr:grpSpPr>
        <a:xfrm>
          <a:off x="4838700" y="1336221"/>
          <a:ext cx="3812966" cy="810079"/>
          <a:chOff x="5679370" y="1323521"/>
          <a:chExt cx="3032830" cy="810079"/>
        </a:xfrm>
      </xdr:grpSpPr>
      <xdr:sp macro="" textlink="'Simulador Rentabilidade'!B21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FF2E8094-4F39-77E4-E778-1211A997A54F}"/>
              </a:ext>
            </a:extLst>
          </xdr:cNvPr>
          <xdr:cNvSpPr/>
        </xdr:nvSpPr>
        <xdr:spPr>
          <a:xfrm>
            <a:off x="5679370" y="1323521"/>
            <a:ext cx="2984500" cy="708479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4FEF7FA-2344-3044-B78C-83A4335A703C}" type="TxLink">
              <a:rPr lang="en-US" sz="1800" b="1" i="0" u="none" strike="noStrike">
                <a:solidFill>
                  <a:schemeClr val="bg1"/>
                </a:solidFill>
                <a:latin typeface="Century Gothic"/>
              </a:rPr>
              <a:pPr algn="ctr"/>
              <a:t>16%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8E99258-7550-3B42-33AE-DC89E6CF947E}"/>
              </a:ext>
            </a:extLst>
          </xdr:cNvPr>
          <xdr:cNvSpPr txBox="1"/>
        </xdr:nvSpPr>
        <xdr:spPr>
          <a:xfrm>
            <a:off x="5791200" y="1701693"/>
            <a:ext cx="2921000" cy="43190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1100" b="1" i="1" u="none">
                <a:solidFill>
                  <a:schemeClr val="bg1"/>
                </a:solidFill>
              </a:rPr>
              <a:t>Rentabildade</a:t>
            </a:r>
            <a:r>
              <a:rPr lang="en-US" sz="1100" b="1" i="1" u="none" baseline="0">
                <a:solidFill>
                  <a:schemeClr val="bg1"/>
                </a:solidFill>
              </a:rPr>
              <a:t> anual </a:t>
            </a:r>
            <a:r>
              <a:rPr lang="en-US" sz="1100" b="1" i="1" u="none">
                <a:solidFill>
                  <a:schemeClr val="bg1"/>
                </a:solidFill>
              </a:rPr>
              <a:t>sobre patriomônio </a:t>
            </a:r>
          </a:p>
        </xdr:txBody>
      </xdr:sp>
    </xdr:grpSp>
    <xdr:clientData/>
  </xdr:twoCellAnchor>
  <xdr:oneCellAnchor>
    <xdr:from>
      <xdr:col>0</xdr:col>
      <xdr:colOff>524631</xdr:colOff>
      <xdr:row>28</xdr:row>
      <xdr:rowOff>65011</xdr:rowOff>
    </xdr:from>
    <xdr:ext cx="4187493" cy="265265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5C8DE36-C4EE-495B-8D5E-73DF58265133}"/>
            </a:ext>
          </a:extLst>
        </xdr:cNvPr>
        <xdr:cNvSpPr txBox="1"/>
      </xdr:nvSpPr>
      <xdr:spPr>
        <a:xfrm>
          <a:off x="524631" y="4806344"/>
          <a:ext cx="4187493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>
              <a:solidFill>
                <a:schemeClr val="bg1"/>
              </a:solidFill>
            </a:rPr>
            <a:t>* Valor de referência para uma taxa de ocupação de 75%</a:t>
          </a:r>
        </a:p>
      </xdr:txBody>
    </xdr:sp>
    <xdr:clientData/>
  </xdr:oneCellAnchor>
  <xdr:twoCellAnchor>
    <xdr:from>
      <xdr:col>1</xdr:col>
      <xdr:colOff>39309</xdr:colOff>
      <xdr:row>1</xdr:row>
      <xdr:rowOff>137584</xdr:rowOff>
    </xdr:from>
    <xdr:to>
      <xdr:col>11</xdr:col>
      <xdr:colOff>774700</xdr:colOff>
      <xdr:row>6</xdr:row>
      <xdr:rowOff>74083</xdr:rowOff>
    </xdr:to>
    <xdr:sp macro="" textlink="'Simulador Rentabilidade'!B7">
      <xdr:nvSpPr>
        <xdr:cNvPr id="53" name="Rectangle: Rounded Corners 52">
          <a:extLst>
            <a:ext uri="{FF2B5EF4-FFF2-40B4-BE49-F238E27FC236}">
              <a16:creationId xmlns:a16="http://schemas.microsoft.com/office/drawing/2014/main" id="{D6427609-B454-E8B5-DB7C-1DB8FBD6806E}"/>
            </a:ext>
          </a:extLst>
        </xdr:cNvPr>
        <xdr:cNvSpPr/>
      </xdr:nvSpPr>
      <xdr:spPr>
        <a:xfrm>
          <a:off x="623509" y="315384"/>
          <a:ext cx="12089191" cy="825499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4F15F08-234C-43ED-B23D-9713567B6F8C}" type="TxLink">
            <a:rPr lang="en-US" sz="3200" b="1" i="0" u="none" strike="noStrike">
              <a:solidFill>
                <a:schemeClr val="bg1"/>
              </a:solidFill>
              <a:latin typeface="Century Gothic"/>
            </a:rPr>
            <a:pPr algn="ctr"/>
            <a:t>Vitacon Domingos de Morais</a:t>
          </a:fld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508648</xdr:colOff>
      <xdr:row>4</xdr:row>
      <xdr:rowOff>146702</xdr:rowOff>
    </xdr:from>
    <xdr:to>
      <xdr:col>9</xdr:col>
      <xdr:colOff>508561</xdr:colOff>
      <xdr:row>7</xdr:row>
      <xdr:rowOff>0</xdr:rowOff>
    </xdr:to>
    <xdr:sp macro="" textlink="'Simulador Rentabilidade'!B9">
      <xdr:nvSpPr>
        <xdr:cNvPr id="54" name="Rectangle: Rounded Corners 53">
          <a:extLst>
            <a:ext uri="{FF2B5EF4-FFF2-40B4-BE49-F238E27FC236}">
              <a16:creationId xmlns:a16="http://schemas.microsoft.com/office/drawing/2014/main" id="{99D3ED7A-A775-2582-A4CF-736AD0744E6E}"/>
            </a:ext>
          </a:extLst>
        </xdr:cNvPr>
        <xdr:cNvSpPr/>
      </xdr:nvSpPr>
      <xdr:spPr>
        <a:xfrm>
          <a:off x="2616848" y="857902"/>
          <a:ext cx="7924713" cy="386698"/>
        </a:xfrm>
        <a:prstGeom prst="round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1F67B99-1141-4249-9830-E9E8FE2197BC}" type="TxLink">
            <a:rPr lang="en-US" sz="1200" b="0" i="0" u="none" strike="noStrike">
              <a:solidFill>
                <a:schemeClr val="bg1"/>
              </a:solidFill>
              <a:latin typeface="Century Gothic"/>
            </a:rPr>
            <a:pPr algn="ctr"/>
            <a:t>Rua Domingos de Morais, 3093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oneCellAnchor>
    <xdr:from>
      <xdr:col>0</xdr:col>
      <xdr:colOff>468386</xdr:colOff>
      <xdr:row>19</xdr:row>
      <xdr:rowOff>169031</xdr:rowOff>
    </xdr:from>
    <xdr:ext cx="283667" cy="265265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81E8CD8-CDC3-4882-853D-D4EB67A5AE00}"/>
            </a:ext>
          </a:extLst>
        </xdr:cNvPr>
        <xdr:cNvSpPr txBox="1"/>
      </xdr:nvSpPr>
      <xdr:spPr>
        <a:xfrm>
          <a:off x="468386" y="3386364"/>
          <a:ext cx="283667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>
              <a:solidFill>
                <a:schemeClr val="bg1"/>
              </a:solidFill>
            </a:rPr>
            <a:t>* </a:t>
          </a:r>
        </a:p>
      </xdr:txBody>
    </xdr:sp>
    <xdr:clientData/>
  </xdr:oneCellAnchor>
  <xdr:twoCellAnchor>
    <xdr:from>
      <xdr:col>0</xdr:col>
      <xdr:colOff>484188</xdr:colOff>
      <xdr:row>12</xdr:row>
      <xdr:rowOff>15194</xdr:rowOff>
    </xdr:from>
    <xdr:to>
      <xdr:col>5</xdr:col>
      <xdr:colOff>269800</xdr:colOff>
      <xdr:row>27</xdr:row>
      <xdr:rowOff>153534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E516D9-9684-4692-8A32-CDD442607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1219200</xdr:colOff>
      <xdr:row>22</xdr:row>
      <xdr:rowOff>167669</xdr:rowOff>
    </xdr:from>
    <xdr:to>
      <xdr:col>5</xdr:col>
      <xdr:colOff>790806</xdr:colOff>
      <xdr:row>26</xdr:row>
      <xdr:rowOff>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FB825CB0-B3B3-464B-A3FF-D7EF5B6F0400}"/>
            </a:ext>
          </a:extLst>
        </xdr:cNvPr>
        <xdr:cNvGrpSpPr/>
      </xdr:nvGrpSpPr>
      <xdr:grpSpPr>
        <a:xfrm>
          <a:off x="5359400" y="4079269"/>
          <a:ext cx="1095606" cy="543531"/>
          <a:chOff x="5555564" y="1185937"/>
          <a:chExt cx="1971828" cy="534006"/>
        </a:xfrm>
        <a:solidFill>
          <a:schemeClr val="accent1"/>
        </a:solidFill>
      </xdr:grpSpPr>
      <xdr:sp macro="" textlink="'Simulador Rentabilidade'!B18">
        <xdr:nvSpPr>
          <xdr:cNvPr id="59" name="Rectangle: Rounded Corners 58">
            <a:extLst>
              <a:ext uri="{FF2B5EF4-FFF2-40B4-BE49-F238E27FC236}">
                <a16:creationId xmlns:a16="http://schemas.microsoft.com/office/drawing/2014/main" id="{01D321D7-5264-80B9-BB84-3321313A2338}"/>
              </a:ext>
            </a:extLst>
          </xdr:cNvPr>
          <xdr:cNvSpPr/>
        </xdr:nvSpPr>
        <xdr:spPr>
          <a:xfrm>
            <a:off x="5555564" y="1185937"/>
            <a:ext cx="1971828" cy="534006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246C843-0379-4256-A9AD-E2D07E37F57E}" type="TxLink">
              <a:rPr lang="en-US" sz="11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R$ 1.620,00 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FE243CB2-7F01-0167-D96C-7AC1239099FF}"/>
              </a:ext>
            </a:extLst>
          </xdr:cNvPr>
          <xdr:cNvSpPr txBox="1"/>
        </xdr:nvSpPr>
        <xdr:spPr>
          <a:xfrm>
            <a:off x="5580414" y="1429657"/>
            <a:ext cx="1922129" cy="26526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1100" b="0" i="1" u="none">
                <a:solidFill>
                  <a:schemeClr val="bg1"/>
                </a:solidFill>
              </a:rPr>
              <a:t>Custos</a:t>
            </a:r>
          </a:p>
        </xdr:txBody>
      </xdr:sp>
    </xdr:grpSp>
    <xdr:clientData/>
  </xdr:twoCellAnchor>
  <xdr:twoCellAnchor>
    <xdr:from>
      <xdr:col>4</xdr:col>
      <xdr:colOff>1219200</xdr:colOff>
      <xdr:row>19</xdr:row>
      <xdr:rowOff>0</xdr:rowOff>
    </xdr:from>
    <xdr:to>
      <xdr:col>5</xdr:col>
      <xdr:colOff>817939</xdr:colOff>
      <xdr:row>22</xdr:row>
      <xdr:rowOff>10131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1136549-D440-4DCF-8EB3-DCBD2B592941}"/>
            </a:ext>
          </a:extLst>
        </xdr:cNvPr>
        <xdr:cNvGrpSpPr/>
      </xdr:nvGrpSpPr>
      <xdr:grpSpPr>
        <a:xfrm>
          <a:off x="5359400" y="3378200"/>
          <a:ext cx="1122739" cy="543531"/>
          <a:chOff x="5952975" y="3363080"/>
          <a:chExt cx="1122739" cy="534006"/>
        </a:xfrm>
        <a:solidFill>
          <a:srgbClr val="00B050"/>
        </a:solidFill>
      </xdr:grpSpPr>
      <xdr:sp macro="" textlink="'Simulador Rentabilidade'!B19">
        <xdr:nvSpPr>
          <xdr:cNvPr id="62" name="Rectangle: Rounded Corners 61">
            <a:extLst>
              <a:ext uri="{FF2B5EF4-FFF2-40B4-BE49-F238E27FC236}">
                <a16:creationId xmlns:a16="http://schemas.microsoft.com/office/drawing/2014/main" id="{AF956D3E-0667-817A-17EC-9317A015D345}"/>
              </a:ext>
            </a:extLst>
          </xdr:cNvPr>
          <xdr:cNvSpPr/>
        </xdr:nvSpPr>
        <xdr:spPr>
          <a:xfrm>
            <a:off x="5952975" y="3363080"/>
            <a:ext cx="1122739" cy="534006"/>
          </a:xfrm>
          <a:prstGeom prst="roundRect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B7B0B21-F581-4F1B-8861-7C359FBC55AC}" type="TxLink">
              <a:rPr lang="en-US" sz="1100" b="1" i="0" u="none" strike="noStrike">
                <a:solidFill>
                  <a:schemeClr val="bg1"/>
                </a:solidFill>
                <a:latin typeface="Century Gothic"/>
              </a:rPr>
              <a:pPr algn="ctr"/>
              <a:t> R$ 5.130,00 </a:t>
            </a:fld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A4E76AE-844D-6052-9215-33D471B91A4E}"/>
              </a:ext>
            </a:extLst>
          </xdr:cNvPr>
          <xdr:cNvSpPr txBox="1"/>
        </xdr:nvSpPr>
        <xdr:spPr>
          <a:xfrm>
            <a:off x="5997290" y="3606801"/>
            <a:ext cx="1034108" cy="23948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 b="0" i="1" u="none">
                <a:solidFill>
                  <a:schemeClr val="bg1"/>
                </a:solidFill>
              </a:rPr>
              <a:t>Rentabilidade</a:t>
            </a:r>
          </a:p>
        </xdr:txBody>
      </xdr:sp>
    </xdr:grpSp>
    <xdr:clientData/>
  </xdr:twoCellAnchor>
  <xdr:twoCellAnchor editAs="oneCell">
    <xdr:from>
      <xdr:col>4</xdr:col>
      <xdr:colOff>263071</xdr:colOff>
      <xdr:row>19</xdr:row>
      <xdr:rowOff>36286</xdr:rowOff>
    </xdr:from>
    <xdr:to>
      <xdr:col>4</xdr:col>
      <xdr:colOff>1233714</xdr:colOff>
      <xdr:row>21</xdr:row>
      <xdr:rowOff>155789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D126BD0-3A1B-43AA-B89D-C4F5D104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6857" y="3311072"/>
          <a:ext cx="970643" cy="464217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</xdr:col>
      <xdr:colOff>143386</xdr:colOff>
      <xdr:row>0</xdr:row>
      <xdr:rowOff>118532</xdr:rowOff>
    </xdr:from>
    <xdr:to>
      <xdr:col>3</xdr:col>
      <xdr:colOff>152400</xdr:colOff>
      <xdr:row>7</xdr:row>
      <xdr:rowOff>81414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50512DE4-A2B2-C8B6-20B3-2503A7DBE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36053" y="118532"/>
          <a:ext cx="2549014" cy="1266749"/>
        </a:xfrm>
        <a:prstGeom prst="rect">
          <a:avLst/>
        </a:prstGeom>
      </xdr:spPr>
    </xdr:pic>
    <xdr:clientData/>
  </xdr:twoCellAnchor>
  <xdr:twoCellAnchor>
    <xdr:from>
      <xdr:col>7</xdr:col>
      <xdr:colOff>83958</xdr:colOff>
      <xdr:row>7</xdr:row>
      <xdr:rowOff>91621</xdr:rowOff>
    </xdr:from>
    <xdr:to>
      <xdr:col>11</xdr:col>
      <xdr:colOff>825501</xdr:colOff>
      <xdr:row>11</xdr:row>
      <xdr:rowOff>114300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30C5302A-DCE1-7850-9801-4B2229F0BCE1}"/>
            </a:ext>
          </a:extLst>
        </xdr:cNvPr>
        <xdr:cNvGrpSpPr/>
      </xdr:nvGrpSpPr>
      <xdr:grpSpPr>
        <a:xfrm>
          <a:off x="8796158" y="1336221"/>
          <a:ext cx="3967343" cy="733879"/>
          <a:chOff x="9168538" y="1310821"/>
          <a:chExt cx="3568700" cy="733879"/>
        </a:xfrm>
      </xdr:grpSpPr>
      <xdr:sp macro="" textlink="'Simulador Rentabilidade'!B23">
        <xdr:nvSpPr>
          <xdr:cNvPr id="5" name="Rectangle: Rounded Corners 40">
            <a:extLst>
              <a:ext uri="{FF2B5EF4-FFF2-40B4-BE49-F238E27FC236}">
                <a16:creationId xmlns:a16="http://schemas.microsoft.com/office/drawing/2014/main" id="{954BC718-4E39-ABE9-E4CD-53A98485F24B}"/>
              </a:ext>
            </a:extLst>
          </xdr:cNvPr>
          <xdr:cNvSpPr/>
        </xdr:nvSpPr>
        <xdr:spPr>
          <a:xfrm>
            <a:off x="9168538" y="1310821"/>
            <a:ext cx="3568700" cy="708479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5CAB45B-009F-7A45-8F3A-4B0860EB6241}" type="TxLink">
              <a:rPr lang="en-US" sz="1800" b="1" i="0" u="none" strike="noStrike">
                <a:solidFill>
                  <a:schemeClr val="bg1"/>
                </a:solidFill>
                <a:latin typeface="Century Gothic"/>
              </a:rPr>
              <a:pPr algn="ctr"/>
              <a:t>50%</a:t>
            </a:fld>
            <a:endParaRPr 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6" name="TextBox 41">
            <a:extLst>
              <a:ext uri="{FF2B5EF4-FFF2-40B4-BE49-F238E27FC236}">
                <a16:creationId xmlns:a16="http://schemas.microsoft.com/office/drawing/2014/main" id="{62A24E42-78E4-BA4B-1690-09AF31E1BFC7}"/>
              </a:ext>
            </a:extLst>
          </xdr:cNvPr>
          <xdr:cNvSpPr txBox="1"/>
        </xdr:nvSpPr>
        <xdr:spPr>
          <a:xfrm>
            <a:off x="9835569" y="1612793"/>
            <a:ext cx="2307624" cy="43190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1100" b="1" i="1" u="none">
                <a:solidFill>
                  <a:schemeClr val="bg1"/>
                </a:solidFill>
              </a:rPr>
              <a:t>Rentabildade</a:t>
            </a:r>
            <a:r>
              <a:rPr lang="en-US" sz="1100" b="1" i="1" u="none" baseline="0">
                <a:solidFill>
                  <a:schemeClr val="bg1"/>
                </a:solidFill>
              </a:rPr>
              <a:t> anual </a:t>
            </a:r>
            <a:r>
              <a:rPr lang="en-US" sz="1100" b="1" i="1" u="none">
                <a:solidFill>
                  <a:schemeClr val="bg1"/>
                </a:solidFill>
              </a:rPr>
              <a:t>sobre aporte   </a:t>
            </a:r>
          </a:p>
        </xdr:txBody>
      </xdr:sp>
    </xdr:grpSp>
    <xdr:clientData/>
  </xdr:twoCellAnchor>
  <xdr:twoCellAnchor>
    <xdr:from>
      <xdr:col>7</xdr:col>
      <xdr:colOff>419100</xdr:colOff>
      <xdr:row>24</xdr:row>
      <xdr:rowOff>38100</xdr:rowOff>
    </xdr:from>
    <xdr:to>
      <xdr:col>10</xdr:col>
      <xdr:colOff>1168400</xdr:colOff>
      <xdr:row>31</xdr:row>
      <xdr:rowOff>114300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DA064285-8434-0276-8445-7C7457356230}"/>
            </a:ext>
          </a:extLst>
        </xdr:cNvPr>
        <xdr:cNvGrpSpPr/>
      </xdr:nvGrpSpPr>
      <xdr:grpSpPr>
        <a:xfrm>
          <a:off x="9131300" y="4305300"/>
          <a:ext cx="2730500" cy="1320800"/>
          <a:chOff x="6819900" y="2222500"/>
          <a:chExt cx="3505200" cy="2057400"/>
        </a:xfrm>
      </xdr:grpSpPr>
      <xdr:sp macro="" textlink="'Simulador Rentabilidade'!B25">
        <xdr:nvSpPr>
          <xdr:cNvPr id="10" name="Rectangle: Rounded Corners 34">
            <a:extLst>
              <a:ext uri="{FF2B5EF4-FFF2-40B4-BE49-F238E27FC236}">
                <a16:creationId xmlns:a16="http://schemas.microsoft.com/office/drawing/2014/main" id="{D237D527-EC1B-644F-BD38-D601BBC09971}"/>
              </a:ext>
            </a:extLst>
          </xdr:cNvPr>
          <xdr:cNvSpPr/>
        </xdr:nvSpPr>
        <xdr:spPr>
          <a:xfrm>
            <a:off x="6819900" y="2222500"/>
            <a:ext cx="3505200" cy="2057400"/>
          </a:xfrm>
          <a:prstGeom prst="roundRect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93EEA6E-C9F8-6E47-86C2-F007CBC45CFB}" type="TxLink">
              <a:rPr lang="en-US" sz="2400" b="1" i="0" u="none" strike="noStrike">
                <a:solidFill>
                  <a:schemeClr val="bg1"/>
                </a:solidFill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Century Gothic"/>
              </a:rPr>
              <a:pPr algn="ctr"/>
              <a:t> R$ 541.200,00 </a:t>
            </a:fld>
            <a:endParaRPr lang="en-US" sz="2400" b="1"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'Simulador Rentabilidade'!B24">
        <xdr:nvSpPr>
          <xdr:cNvPr id="11" name="CaixaDeTexto 10">
            <a:extLst>
              <a:ext uri="{FF2B5EF4-FFF2-40B4-BE49-F238E27FC236}">
                <a16:creationId xmlns:a16="http://schemas.microsoft.com/office/drawing/2014/main" id="{7526B354-9E2D-AEF1-06F3-94A3A1F98B3D}"/>
              </a:ext>
            </a:extLst>
          </xdr:cNvPr>
          <xdr:cNvSpPr txBox="1"/>
        </xdr:nvSpPr>
        <xdr:spPr>
          <a:xfrm>
            <a:off x="8078330" y="2695053"/>
            <a:ext cx="1306970" cy="73394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none" rtlCol="0" anchor="ctr">
            <a:noAutofit/>
            <a:scene3d>
              <a:camera prst="orthographicFront"/>
              <a:lightRig rig="threePt" dir="t"/>
            </a:scene3d>
            <a:sp3d extrusionH="57150" contourW="12700">
              <a:bevelB w="63500" h="114300" prst="angle"/>
              <a:extrusionClr>
                <a:schemeClr val="bg1">
                  <a:lumMod val="95000"/>
                </a:schemeClr>
              </a:extrusionClr>
              <a:contourClr>
                <a:schemeClr val="bg1">
                  <a:lumMod val="95000"/>
                </a:schemeClr>
              </a:contourClr>
            </a:sp3d>
          </a:bodyPr>
          <a:lstStyle/>
          <a:p>
            <a:fld id="{399A1FE7-2561-F14D-BE3D-D2EFCC25FFBE}" type="TxLink">
              <a:rPr lang="en-US" sz="2400" b="1" i="0" u="none" strike="noStrike">
                <a:solidFill>
                  <a:schemeClr val="bg1">
                    <a:lumMod val="95000"/>
                  </a:schemeClr>
                </a:solidFill>
                <a:latin typeface="Avenir Black" panose="02000503020000020003" pitchFamily="2" charset="0"/>
              </a:rPr>
              <a:pPr/>
              <a:t>32%</a:t>
            </a:fld>
            <a:endParaRPr lang="pt-BR" sz="2400" b="1" i="0">
              <a:solidFill>
                <a:schemeClr val="bg1">
                  <a:lumMod val="95000"/>
                </a:schemeClr>
              </a:solidFill>
              <a:latin typeface="Avenir Black" panose="02000503020000020003" pitchFamily="2" charset="0"/>
            </a:endParaRPr>
          </a:p>
        </xdr:txBody>
      </xdr:sp>
      <xdr:sp macro="" textlink="'Simulador Rentabilidade'!A25">
        <xdr:nvSpPr>
          <xdr:cNvPr id="13" name="Retângulo 12">
            <a:extLst>
              <a:ext uri="{FF2B5EF4-FFF2-40B4-BE49-F238E27FC236}">
                <a16:creationId xmlns:a16="http://schemas.microsoft.com/office/drawing/2014/main" id="{9A05F329-CA47-ED3D-7036-F019D49CC064}"/>
              </a:ext>
            </a:extLst>
          </xdr:cNvPr>
          <xdr:cNvSpPr/>
        </xdr:nvSpPr>
        <xdr:spPr>
          <a:xfrm>
            <a:off x="6870700" y="3269155"/>
            <a:ext cx="3429000" cy="3556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F5C6034-5DAC-6145-ABA6-4B8A2640EB65}" type="TxLink">
              <a:rPr lang="en-US" sz="1000" b="1" i="0" u="none" strike="noStrike">
                <a:ln>
                  <a:noFill/>
                </a:ln>
                <a:solidFill>
                  <a:schemeClr val="bg1"/>
                </a:solidFill>
                <a:latin typeface="Century Gothic"/>
              </a:rPr>
              <a:pPr algn="ctr"/>
              <a:t>Média valor do ativo na Entrega</a:t>
            </a:fld>
            <a:endParaRPr lang="pt-BR" sz="1000" b="1">
              <a:ln>
                <a:noFill/>
              </a:ln>
              <a:solidFill>
                <a:schemeClr val="bg1"/>
              </a:solidFill>
            </a:endParaRPr>
          </a:p>
        </xdr:txBody>
      </xdr:sp>
      <xdr:sp macro="" textlink="'Simulador Rentabilidade'!A24">
        <xdr:nvSpPr>
          <xdr:cNvPr id="14" name="Retângulo 13">
            <a:extLst>
              <a:ext uri="{FF2B5EF4-FFF2-40B4-BE49-F238E27FC236}">
                <a16:creationId xmlns:a16="http://schemas.microsoft.com/office/drawing/2014/main" id="{2981DAEC-AA00-214D-8031-68C8097429F1}"/>
              </a:ext>
            </a:extLst>
          </xdr:cNvPr>
          <xdr:cNvSpPr/>
        </xdr:nvSpPr>
        <xdr:spPr>
          <a:xfrm>
            <a:off x="6921500" y="2489200"/>
            <a:ext cx="3352800" cy="3429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EC0C261-51CC-5747-B227-B8B5B6726DE0}" type="TxLink">
              <a:rPr lang="en-US" sz="1000" b="1" i="0" u="none" strike="noStrike">
                <a:ln>
                  <a:noFill/>
                </a:ln>
                <a:solidFill>
                  <a:schemeClr val="bg1"/>
                </a:solidFill>
                <a:latin typeface="Century Gothic"/>
              </a:rPr>
              <a:pPr algn="ctr"/>
              <a:t> Média valorização no periodo de obra</a:t>
            </a:fld>
            <a:endParaRPr lang="pt-BR" sz="1000" b="1">
              <a:ln>
                <a:noFill/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76200</xdr:colOff>
      <xdr:row>35</xdr:row>
      <xdr:rowOff>165100</xdr:rowOff>
    </xdr:from>
    <xdr:to>
      <xdr:col>2</xdr:col>
      <xdr:colOff>177800</xdr:colOff>
      <xdr:row>39</xdr:row>
      <xdr:rowOff>0</xdr:rowOff>
    </xdr:to>
    <xdr:sp macro="" textlink="'Simulador Rentabilidade'!D28">
      <xdr:nvSpPr>
        <xdr:cNvPr id="21" name="Retângulo Arredondado 20">
          <a:extLst>
            <a:ext uri="{FF2B5EF4-FFF2-40B4-BE49-F238E27FC236}">
              <a16:creationId xmlns:a16="http://schemas.microsoft.com/office/drawing/2014/main" id="{18156FD9-6B4D-C155-503B-7531A0652D1A}"/>
            </a:ext>
          </a:extLst>
        </xdr:cNvPr>
        <xdr:cNvSpPr/>
      </xdr:nvSpPr>
      <xdr:spPr>
        <a:xfrm flipH="1">
          <a:off x="660400" y="6388100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CE7B8F8-5D50-EB47-8E47-F980989C57F5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R$ 41.000,00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298450</xdr:colOff>
      <xdr:row>35</xdr:row>
      <xdr:rowOff>169333</xdr:rowOff>
    </xdr:from>
    <xdr:to>
      <xdr:col>3</xdr:col>
      <xdr:colOff>908050</xdr:colOff>
      <xdr:row>39</xdr:row>
      <xdr:rowOff>4233</xdr:rowOff>
    </xdr:to>
    <xdr:sp macro="" textlink="'Simulador Rentabilidade'!D29">
      <xdr:nvSpPr>
        <xdr:cNvPr id="22" name="Retângulo Arredondado 21">
          <a:extLst>
            <a:ext uri="{FF2B5EF4-FFF2-40B4-BE49-F238E27FC236}">
              <a16:creationId xmlns:a16="http://schemas.microsoft.com/office/drawing/2014/main" id="{C2FC5360-A9DE-2B40-B5A0-587A0F2C883B}"/>
            </a:ext>
          </a:extLst>
        </xdr:cNvPr>
        <xdr:cNvSpPr/>
      </xdr:nvSpPr>
      <xdr:spPr>
        <a:xfrm flipH="1">
          <a:off x="2406650" y="6392333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965133CB-AAF9-A946-B122-669C588D9D50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R$ 6.833,33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12700</xdr:colOff>
      <xdr:row>35</xdr:row>
      <xdr:rowOff>173566</xdr:rowOff>
    </xdr:from>
    <xdr:to>
      <xdr:col>5</xdr:col>
      <xdr:colOff>114300</xdr:colOff>
      <xdr:row>39</xdr:row>
      <xdr:rowOff>8466</xdr:rowOff>
    </xdr:to>
    <xdr:sp macro="" textlink="'Simulador Rentabilidade'!D30">
      <xdr:nvSpPr>
        <xdr:cNvPr id="23" name="Retângulo Arredondado 22">
          <a:extLst>
            <a:ext uri="{FF2B5EF4-FFF2-40B4-BE49-F238E27FC236}">
              <a16:creationId xmlns:a16="http://schemas.microsoft.com/office/drawing/2014/main" id="{7FB51F90-8A15-4440-BC88-E5A06227862E}"/>
            </a:ext>
          </a:extLst>
        </xdr:cNvPr>
        <xdr:cNvSpPr/>
      </xdr:nvSpPr>
      <xdr:spPr>
        <a:xfrm flipH="1">
          <a:off x="4152900" y="6396566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466332B3-7A8F-4A40-B9DE-161C26F2025A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R$ 891,30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234950</xdr:colOff>
      <xdr:row>36</xdr:row>
      <xdr:rowOff>4232</xdr:rowOff>
    </xdr:from>
    <xdr:to>
      <xdr:col>6</xdr:col>
      <xdr:colOff>336550</xdr:colOff>
      <xdr:row>39</xdr:row>
      <xdr:rowOff>16932</xdr:rowOff>
    </xdr:to>
    <xdr:sp macro="" textlink="'Simulador Rentabilidade'!D31">
      <xdr:nvSpPr>
        <xdr:cNvPr id="24" name="Retângulo Arredondado 23">
          <a:extLst>
            <a:ext uri="{FF2B5EF4-FFF2-40B4-BE49-F238E27FC236}">
              <a16:creationId xmlns:a16="http://schemas.microsoft.com/office/drawing/2014/main" id="{B20A251B-A6A0-AD4D-BB6A-3C08A06317A9}"/>
            </a:ext>
          </a:extLst>
        </xdr:cNvPr>
        <xdr:cNvSpPr/>
      </xdr:nvSpPr>
      <xdr:spPr>
        <a:xfrm flipH="1">
          <a:off x="5899150" y="6405032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6E557AC-A951-DF46-878E-96389BC198F2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R$ 10.250,00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457200</xdr:colOff>
      <xdr:row>35</xdr:row>
      <xdr:rowOff>177799</xdr:rowOff>
    </xdr:from>
    <xdr:to>
      <xdr:col>7</xdr:col>
      <xdr:colOff>558800</xdr:colOff>
      <xdr:row>39</xdr:row>
      <xdr:rowOff>12699</xdr:rowOff>
    </xdr:to>
    <xdr:sp macro="" textlink="'Simulador Rentabilidade'!D32">
      <xdr:nvSpPr>
        <xdr:cNvPr id="25" name="Retângulo Arredondado 24">
          <a:extLst>
            <a:ext uri="{FF2B5EF4-FFF2-40B4-BE49-F238E27FC236}">
              <a16:creationId xmlns:a16="http://schemas.microsoft.com/office/drawing/2014/main" id="{0431FD36-786E-E24C-B741-8625D4AE9B74}"/>
            </a:ext>
          </a:extLst>
        </xdr:cNvPr>
        <xdr:cNvSpPr/>
      </xdr:nvSpPr>
      <xdr:spPr>
        <a:xfrm flipH="1">
          <a:off x="7645400" y="6400799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BA8CD20-0DBD-9947-8901-BBD7D1B2E4CC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R$ 20.500,00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19050</xdr:colOff>
      <xdr:row>36</xdr:row>
      <xdr:rowOff>8465</xdr:rowOff>
    </xdr:from>
    <xdr:to>
      <xdr:col>10</xdr:col>
      <xdr:colOff>323850</xdr:colOff>
      <xdr:row>39</xdr:row>
      <xdr:rowOff>21165</xdr:rowOff>
    </xdr:to>
    <xdr:sp macro="" textlink="'Simulador Rentabilidade'!D33">
      <xdr:nvSpPr>
        <xdr:cNvPr id="26" name="Retângulo Arredondado 25">
          <a:extLst>
            <a:ext uri="{FF2B5EF4-FFF2-40B4-BE49-F238E27FC236}">
              <a16:creationId xmlns:a16="http://schemas.microsoft.com/office/drawing/2014/main" id="{7A1A33CE-FCFC-6E41-922C-854702DE11A5}"/>
            </a:ext>
          </a:extLst>
        </xdr:cNvPr>
        <xdr:cNvSpPr/>
      </xdr:nvSpPr>
      <xdr:spPr>
        <a:xfrm flipH="1">
          <a:off x="9391650" y="6409265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B7A991DF-E6C5-8246-9108-A880A57F7D0A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R$ 286.590,00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444500</xdr:colOff>
      <xdr:row>36</xdr:row>
      <xdr:rowOff>12700</xdr:rowOff>
    </xdr:from>
    <xdr:to>
      <xdr:col>11</xdr:col>
      <xdr:colOff>825500</xdr:colOff>
      <xdr:row>39</xdr:row>
      <xdr:rowOff>25400</xdr:rowOff>
    </xdr:to>
    <xdr:sp macro="" textlink="'Simulador Rentabilidade'!D34">
      <xdr:nvSpPr>
        <xdr:cNvPr id="27" name="Retângulo Arredondado 26">
          <a:extLst>
            <a:ext uri="{FF2B5EF4-FFF2-40B4-BE49-F238E27FC236}">
              <a16:creationId xmlns:a16="http://schemas.microsoft.com/office/drawing/2014/main" id="{65100BA4-82DF-894A-84DC-2733F17703C6}"/>
            </a:ext>
          </a:extLst>
        </xdr:cNvPr>
        <xdr:cNvSpPr/>
      </xdr:nvSpPr>
      <xdr:spPr>
        <a:xfrm flipH="1">
          <a:off x="11137900" y="8470900"/>
          <a:ext cx="1625600" cy="5461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8CBA60D7-88BD-AC44-AD0A-177C9D2C02F6}" type="TxLink">
            <a:rPr lang="en-US" sz="15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R$ 410,00 </a:t>
          </a:fld>
          <a:endParaRPr lang="pt-BR" sz="1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63500</xdr:colOff>
      <xdr:row>33</xdr:row>
      <xdr:rowOff>139700</xdr:rowOff>
    </xdr:from>
    <xdr:to>
      <xdr:col>2</xdr:col>
      <xdr:colOff>165100</xdr:colOff>
      <xdr:row>35</xdr:row>
      <xdr:rowOff>71968</xdr:rowOff>
    </xdr:to>
    <xdr:sp macro="" textlink="'Simulador Rentabilidade'!A28">
      <xdr:nvSpPr>
        <xdr:cNvPr id="28" name="Retângulo Arredondado 27">
          <a:extLst>
            <a:ext uri="{FF2B5EF4-FFF2-40B4-BE49-F238E27FC236}">
              <a16:creationId xmlns:a16="http://schemas.microsoft.com/office/drawing/2014/main" id="{F1DC29E3-C89E-A346-B190-052EB0BB3F4D}"/>
            </a:ext>
          </a:extLst>
        </xdr:cNvPr>
        <xdr:cNvSpPr/>
      </xdr:nvSpPr>
      <xdr:spPr>
        <a:xfrm flipH="1">
          <a:off x="647700" y="8064500"/>
          <a:ext cx="1625600" cy="287868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09FEEB6-2DE4-724B-A6C5-33F7EE24FB00}" type="TxLink">
            <a:rPr lang="en-US" sz="15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cs typeface="Calibri"/>
            </a:rPr>
            <a:pPr algn="ctr"/>
            <a:t>ATO</a:t>
          </a:fld>
          <a:endParaRPr lang="pt-BR" sz="15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444500</xdr:colOff>
      <xdr:row>33</xdr:row>
      <xdr:rowOff>152399</xdr:rowOff>
    </xdr:from>
    <xdr:to>
      <xdr:col>7</xdr:col>
      <xdr:colOff>546100</xdr:colOff>
      <xdr:row>35</xdr:row>
      <xdr:rowOff>84667</xdr:rowOff>
    </xdr:to>
    <xdr:sp macro="" textlink="'Simulador Rentabilidade'!A32">
      <xdr:nvSpPr>
        <xdr:cNvPr id="32" name="Retângulo Arredondado 31">
          <a:extLst>
            <a:ext uri="{FF2B5EF4-FFF2-40B4-BE49-F238E27FC236}">
              <a16:creationId xmlns:a16="http://schemas.microsoft.com/office/drawing/2014/main" id="{4E5AAC8F-B097-7F49-B423-A25F90BE735A}"/>
            </a:ext>
          </a:extLst>
        </xdr:cNvPr>
        <xdr:cNvSpPr/>
      </xdr:nvSpPr>
      <xdr:spPr>
        <a:xfrm flipH="1">
          <a:off x="7632700" y="6019799"/>
          <a:ext cx="1625600" cy="287868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E3ADA62-DEC7-3346-B2F0-F8202A763D39}" type="TxLink">
            <a:rPr lang="en-US" sz="15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cs typeface="Calibri"/>
            </a:rPr>
            <a:pPr algn="ctr"/>
            <a:t>ÚNICA</a:t>
          </a:fld>
          <a:endParaRPr lang="pt-BR" sz="15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6350</xdr:colOff>
      <xdr:row>33</xdr:row>
      <xdr:rowOff>160865</xdr:rowOff>
    </xdr:from>
    <xdr:to>
      <xdr:col>10</xdr:col>
      <xdr:colOff>311150</xdr:colOff>
      <xdr:row>35</xdr:row>
      <xdr:rowOff>93133</xdr:rowOff>
    </xdr:to>
    <xdr:sp macro="" textlink="'Simulador Rentabilidade'!A33">
      <xdr:nvSpPr>
        <xdr:cNvPr id="33" name="Retângulo Arredondado 32">
          <a:extLst>
            <a:ext uri="{FF2B5EF4-FFF2-40B4-BE49-F238E27FC236}">
              <a16:creationId xmlns:a16="http://schemas.microsoft.com/office/drawing/2014/main" id="{5582A78E-482C-4448-BB62-07E80B36567E}"/>
            </a:ext>
          </a:extLst>
        </xdr:cNvPr>
        <xdr:cNvSpPr/>
      </xdr:nvSpPr>
      <xdr:spPr>
        <a:xfrm flipH="1">
          <a:off x="9378950" y="6028265"/>
          <a:ext cx="1625600" cy="287868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80A7D46-28C1-6941-9E53-53206043777B}" type="TxLink">
            <a:rPr lang="en-US" sz="15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cs typeface="Calibri"/>
            </a:rPr>
            <a:pPr algn="ctr"/>
            <a:t>FINANCIAMENTO</a:t>
          </a:fld>
          <a:endParaRPr lang="pt-BR" sz="15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431800</xdr:colOff>
      <xdr:row>33</xdr:row>
      <xdr:rowOff>165100</xdr:rowOff>
    </xdr:from>
    <xdr:to>
      <xdr:col>11</xdr:col>
      <xdr:colOff>812800</xdr:colOff>
      <xdr:row>35</xdr:row>
      <xdr:rowOff>97368</xdr:rowOff>
    </xdr:to>
    <xdr:sp macro="" textlink="'Simulador Rentabilidade'!A34">
      <xdr:nvSpPr>
        <xdr:cNvPr id="44" name="Retângulo Arredondado 43">
          <a:extLst>
            <a:ext uri="{FF2B5EF4-FFF2-40B4-BE49-F238E27FC236}">
              <a16:creationId xmlns:a16="http://schemas.microsoft.com/office/drawing/2014/main" id="{B47FE281-62E1-7647-B8D5-0810E2C812E9}"/>
            </a:ext>
          </a:extLst>
        </xdr:cNvPr>
        <xdr:cNvSpPr/>
      </xdr:nvSpPr>
      <xdr:spPr>
        <a:xfrm flipH="1">
          <a:off x="11125200" y="6032500"/>
          <a:ext cx="1625600" cy="287868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3115D9-4C41-ED4B-AD06-6543021EF9D1}" type="TxLink">
            <a:rPr lang="en-US" sz="15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cs typeface="Calibri"/>
            </a:rPr>
            <a:pPr algn="ctr"/>
            <a:t>PERIODICIDADE</a:t>
          </a:fld>
          <a:endParaRPr lang="pt-BR" sz="1500" b="1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50799</xdr:colOff>
      <xdr:row>33</xdr:row>
      <xdr:rowOff>148166</xdr:rowOff>
    </xdr:from>
    <xdr:to>
      <xdr:col>5</xdr:col>
      <xdr:colOff>127000</xdr:colOff>
      <xdr:row>35</xdr:row>
      <xdr:rowOff>77304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76DD7766-50AE-BA5F-31F3-AB03128350BA}"/>
            </a:ext>
          </a:extLst>
        </xdr:cNvPr>
        <xdr:cNvGrpSpPr/>
      </xdr:nvGrpSpPr>
      <xdr:grpSpPr>
        <a:xfrm>
          <a:off x="4190999" y="6015566"/>
          <a:ext cx="1600201" cy="284738"/>
          <a:chOff x="4192104" y="5979123"/>
          <a:chExt cx="1302026" cy="282529"/>
        </a:xfrm>
      </xdr:grpSpPr>
      <xdr:sp macro="" textlink="">
        <xdr:nvSpPr>
          <xdr:cNvPr id="30" name="Retângulo Arredondado 29">
            <a:extLst>
              <a:ext uri="{FF2B5EF4-FFF2-40B4-BE49-F238E27FC236}">
                <a16:creationId xmlns:a16="http://schemas.microsoft.com/office/drawing/2014/main" id="{F997A1AD-4809-0A48-98A4-10052C790B66}"/>
              </a:ext>
            </a:extLst>
          </xdr:cNvPr>
          <xdr:cNvSpPr/>
        </xdr:nvSpPr>
        <xdr:spPr>
          <a:xfrm flipH="1">
            <a:off x="4543286" y="5980043"/>
            <a:ext cx="950844" cy="281609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X</a:t>
            </a:r>
            <a:r>
              <a:rPr lang="en-US" sz="1100" b="1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  </a:t>
            </a:r>
            <a:r>
              <a:rPr lang="en-US" sz="1400" b="1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MENSAIS</a:t>
            </a:r>
          </a:p>
        </xdr:txBody>
      </xdr:sp>
      <xdr:sp macro="" textlink="'Simulador Rentabilidade'!C30">
        <xdr:nvSpPr>
          <xdr:cNvPr id="45" name="Retângulo Arredondado 44">
            <a:extLst>
              <a:ext uri="{FF2B5EF4-FFF2-40B4-BE49-F238E27FC236}">
                <a16:creationId xmlns:a16="http://schemas.microsoft.com/office/drawing/2014/main" id="{5A5EABA3-DBAB-8B45-AC07-B5B05D63DC37}"/>
              </a:ext>
            </a:extLst>
          </xdr:cNvPr>
          <xdr:cNvSpPr/>
        </xdr:nvSpPr>
        <xdr:spPr>
          <a:xfrm flipH="1">
            <a:off x="4192104" y="5979123"/>
            <a:ext cx="440635" cy="281425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205D5FB-3D92-164C-B842-2FBDC9788A0D}" type="TxLink">
              <a:rPr lang="en-US" sz="1600" b="1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Calibri"/>
                <a:cs typeface="Calibri"/>
              </a:rPr>
              <a:pPr algn="ctr"/>
              <a:t>23</a:t>
            </a:fld>
            <a:endParaRPr lang="pt-BR" sz="1600" b="1" u="none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</xdr:col>
      <xdr:colOff>761805</xdr:colOff>
      <xdr:row>33</xdr:row>
      <xdr:rowOff>149093</xdr:rowOff>
    </xdr:from>
    <xdr:to>
      <xdr:col>3</xdr:col>
      <xdr:colOff>914400</xdr:colOff>
      <xdr:row>35</xdr:row>
      <xdr:rowOff>77304</xdr:rowOff>
    </xdr:to>
    <xdr:sp macro="" textlink="">
      <xdr:nvSpPr>
        <xdr:cNvPr id="48" name="Retângulo Arredondado 47">
          <a:extLst>
            <a:ext uri="{FF2B5EF4-FFF2-40B4-BE49-F238E27FC236}">
              <a16:creationId xmlns:a16="http://schemas.microsoft.com/office/drawing/2014/main" id="{2022F825-9603-8249-A059-116175481A7F}"/>
            </a:ext>
          </a:extLst>
        </xdr:cNvPr>
        <xdr:cNvSpPr/>
      </xdr:nvSpPr>
      <xdr:spPr>
        <a:xfrm flipH="1">
          <a:off x="2870005" y="6016493"/>
          <a:ext cx="1168595" cy="283811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X </a:t>
          </a:r>
          <a:r>
            <a:rPr lang="en-US" sz="1100" b="1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</a:t>
          </a:r>
          <a:r>
            <a:rPr lang="en-US" sz="1400" b="1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SINAIS</a:t>
          </a:r>
        </a:p>
      </xdr:txBody>
    </xdr:sp>
    <xdr:clientData/>
  </xdr:twoCellAnchor>
  <xdr:twoCellAnchor>
    <xdr:from>
      <xdr:col>2</xdr:col>
      <xdr:colOff>330199</xdr:colOff>
      <xdr:row>33</xdr:row>
      <xdr:rowOff>148166</xdr:rowOff>
    </xdr:from>
    <xdr:to>
      <xdr:col>2</xdr:col>
      <xdr:colOff>871743</xdr:colOff>
      <xdr:row>35</xdr:row>
      <xdr:rowOff>76191</xdr:rowOff>
    </xdr:to>
    <xdr:sp macro="" textlink="'Simulador Rentabilidade'!C29">
      <xdr:nvSpPr>
        <xdr:cNvPr id="49" name="Retângulo Arredondado 48">
          <a:extLst>
            <a:ext uri="{FF2B5EF4-FFF2-40B4-BE49-F238E27FC236}">
              <a16:creationId xmlns:a16="http://schemas.microsoft.com/office/drawing/2014/main" id="{8FF5C6D5-ED71-BE58-D03E-306787DED783}"/>
            </a:ext>
          </a:extLst>
        </xdr:cNvPr>
        <xdr:cNvSpPr/>
      </xdr:nvSpPr>
      <xdr:spPr>
        <a:xfrm flipH="1">
          <a:off x="2438399" y="6015566"/>
          <a:ext cx="541544" cy="28362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13316B6-DAB8-5549-9327-8616B6D4CAB8}" type="TxLink">
            <a:rPr lang="en-US" sz="1600" b="1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cs typeface="Calibri"/>
            </a:rPr>
            <a:pPr algn="ctr"/>
            <a:t>3</a:t>
          </a:fld>
          <a:endParaRPr lang="pt-BR" sz="1600" b="1" u="none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698306</xdr:colOff>
      <xdr:row>33</xdr:row>
      <xdr:rowOff>153327</xdr:rowOff>
    </xdr:from>
    <xdr:to>
      <xdr:col>6</xdr:col>
      <xdr:colOff>342901</xdr:colOff>
      <xdr:row>35</xdr:row>
      <xdr:rowOff>81538</xdr:rowOff>
    </xdr:to>
    <xdr:sp macro="" textlink="">
      <xdr:nvSpPr>
        <xdr:cNvPr id="51" name="Retângulo Arredondado 50">
          <a:extLst>
            <a:ext uri="{FF2B5EF4-FFF2-40B4-BE49-F238E27FC236}">
              <a16:creationId xmlns:a16="http://schemas.microsoft.com/office/drawing/2014/main" id="{1C92F902-BFE7-0991-67BE-4FFE3798A915}"/>
            </a:ext>
          </a:extLst>
        </xdr:cNvPr>
        <xdr:cNvSpPr/>
      </xdr:nvSpPr>
      <xdr:spPr>
        <a:xfrm flipH="1">
          <a:off x="6362506" y="6020727"/>
          <a:ext cx="1168595" cy="283811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X</a:t>
          </a:r>
          <a:r>
            <a:rPr lang="en-US" sz="1100" b="1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</a:t>
          </a:r>
          <a:r>
            <a:rPr lang="en-US" sz="1400" b="1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 ANUAIS</a:t>
          </a:r>
        </a:p>
        <a:p>
          <a:pPr algn="ctr"/>
          <a:endParaRPr lang="en-US" sz="1400" b="1" baseline="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254000</xdr:colOff>
      <xdr:row>33</xdr:row>
      <xdr:rowOff>152400</xdr:rowOff>
    </xdr:from>
    <xdr:to>
      <xdr:col>5</xdr:col>
      <xdr:colOff>795544</xdr:colOff>
      <xdr:row>35</xdr:row>
      <xdr:rowOff>80425</xdr:rowOff>
    </xdr:to>
    <xdr:sp macro="" textlink="'Simulador Rentabilidade'!C31">
      <xdr:nvSpPr>
        <xdr:cNvPr id="65" name="Retângulo Arredondado 64">
          <a:extLst>
            <a:ext uri="{FF2B5EF4-FFF2-40B4-BE49-F238E27FC236}">
              <a16:creationId xmlns:a16="http://schemas.microsoft.com/office/drawing/2014/main" id="{DB93AA83-4995-84E5-4C81-073BE6D0674E}"/>
            </a:ext>
          </a:extLst>
        </xdr:cNvPr>
        <xdr:cNvSpPr/>
      </xdr:nvSpPr>
      <xdr:spPr>
        <a:xfrm flipH="1">
          <a:off x="5918200" y="6019800"/>
          <a:ext cx="541544" cy="28362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D69ECD7-2F04-B04A-AB44-9FA878417F8F}" type="TxLink">
            <a:rPr lang="en-US" sz="1600" b="1" i="0" u="sng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cs typeface="Calibri"/>
            </a:rPr>
            <a:pPr algn="ctr"/>
            <a:t>2</a:t>
          </a:fld>
          <a:endParaRPr lang="pt-BR" sz="1600" b="1" u="none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1454452</xdr:colOff>
      <xdr:row>39</xdr:row>
      <xdr:rowOff>155120</xdr:rowOff>
    </xdr:from>
    <xdr:to>
      <xdr:col>11</xdr:col>
      <xdr:colOff>787400</xdr:colOff>
      <xdr:row>44</xdr:row>
      <xdr:rowOff>12700</xdr:rowOff>
    </xdr:to>
    <xdr:sp macro="" textlink="'Simulador Rentabilidade'!B16">
      <xdr:nvSpPr>
        <xdr:cNvPr id="73" name="Rectangle: Rounded Corners 34">
          <a:extLst>
            <a:ext uri="{FF2B5EF4-FFF2-40B4-BE49-F238E27FC236}">
              <a16:creationId xmlns:a16="http://schemas.microsoft.com/office/drawing/2014/main" id="{3650B6A4-73EC-8449-E02D-EBA207A27337}"/>
            </a:ext>
          </a:extLst>
        </xdr:cNvPr>
        <xdr:cNvSpPr/>
      </xdr:nvSpPr>
      <xdr:spPr>
        <a:xfrm>
          <a:off x="8642652" y="7089320"/>
          <a:ext cx="4082748" cy="74658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16E4CDC-7235-4B1B-9031-5C8FA7EF2B36}" type="TxLink">
            <a:rPr lang="en-US" sz="28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/>
            </a:rPr>
            <a:pPr algn="ctr"/>
            <a:t> R$ 410.000,00 </a:t>
          </a:fld>
          <a:endParaRPr lang="en-US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1003300</xdr:colOff>
      <xdr:row>39</xdr:row>
      <xdr:rowOff>155120</xdr:rowOff>
    </xdr:from>
    <xdr:to>
      <xdr:col>6</xdr:col>
      <xdr:colOff>1320800</xdr:colOff>
      <xdr:row>44</xdr:row>
      <xdr:rowOff>12700</xdr:rowOff>
    </xdr:to>
    <xdr:sp macro="" textlink="'Simulador Rentabilidade'!B16">
      <xdr:nvSpPr>
        <xdr:cNvPr id="76" name="Rectangle: Rounded Corners 34">
          <a:extLst>
            <a:ext uri="{FF2B5EF4-FFF2-40B4-BE49-F238E27FC236}">
              <a16:creationId xmlns:a16="http://schemas.microsoft.com/office/drawing/2014/main" id="{50B9B467-2BE0-E746-92C9-8AFFEF5A57D6}"/>
            </a:ext>
          </a:extLst>
        </xdr:cNvPr>
        <xdr:cNvSpPr/>
      </xdr:nvSpPr>
      <xdr:spPr>
        <a:xfrm>
          <a:off x="6667500" y="7089320"/>
          <a:ext cx="1841500" cy="74658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79C8E1-26D2-174D-9A45-EC3C7B85E451}" name="Table357" displayName="Table357" ref="A53:E61" totalsRowShown="0" headerRowDxfId="27" dataDxfId="26">
  <tableColumns count="5">
    <tableColumn id="1" xr3:uid="{B1DA2508-08ED-204B-84C5-7A9A944CE853}" name="Série" dataDxfId="25"/>
    <tableColumn id="2" xr3:uid="{FAC43ABE-72F0-9346-AEB7-3E388FA1264F}" name="Inicio" dataDxfId="24"/>
    <tableColumn id="3" xr3:uid="{EB9D7B8B-3B75-184A-84B4-00BD3A30B0FC}" name="Qtd" dataDxfId="23"/>
    <tableColumn id="4" xr3:uid="{A4F3722A-6524-2F43-AA4E-1DE0C992345E}" name="Valor" dataDxfId="22">
      <calculatedColumnFormula>'Simulador Rentabilidade'!D28</calculatedColumnFormula>
    </tableColumn>
    <tableColumn id="5" xr3:uid="{7866152A-707D-424A-B58A-16ACE7B0EA8B}" name="Venc." dataDxfId="21">
      <calculatedColumnFormula>'Simulador Rentabilidade'!E28</calculatedColumnFormula>
    </tableColumn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6CFEB-8CA0-354D-8CF7-F8AAD1387E70}" name="Tabela1" displayName="Tabela1" ref="A4:B21" totalsRowShown="0" headerRowDxfId="20" dataDxfId="18" headerRowBorderDxfId="19" tableBorderDxfId="17" totalsRowBorderDxfId="16">
  <tableColumns count="2">
    <tableColumn id="1" xr3:uid="{C71D9C7D-BBAF-E04B-8493-4407AD04177D}" name="Parâmetro" dataDxfId="15"/>
    <tableColumn id="2" xr3:uid="{B3A2D8C7-A159-4041-BCFF-630326D65A1D}" name="Valor" dataDxfId="1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76943-DB1B-CB4C-80F5-D5ABC0625C94}" name="Tabela2" displayName="Tabela2" ref="A27:I35" totalsRowShown="0" headerRowDxfId="13" dataDxfId="11" headerRowBorderDxfId="12" tableBorderDxfId="10" totalsRowBorderDxfId="9">
  <autoFilter ref="A27:I35" xr:uid="{FEC76943-DB1B-CB4C-80F5-D5ABC0625C94}"/>
  <tableColumns count="9">
    <tableColumn id="1" xr3:uid="{018FB128-320B-9B4D-9540-8A13EC6CFC34}" name="Série" dataDxfId="8"/>
    <tableColumn id="2" xr3:uid="{9E75EA4C-7C03-9F48-9B91-849CBF9C10A3}" name="Inicio" dataDxfId="7"/>
    <tableColumn id="3" xr3:uid="{F97D27A7-EE97-B84C-BFA0-6969F16890CD}" name="Quantidade" dataDxfId="6"/>
    <tableColumn id="4" xr3:uid="{E8DA08B2-6B03-2348-83DF-A0936424F43F}" name="Valor" dataDxfId="5"/>
    <tableColumn id="6" xr3:uid="{6BA17630-1608-1F4D-B899-EE5A0B9C6280}" name="Total" dataDxfId="4"/>
    <tableColumn id="7" xr3:uid="{AC3E6436-6F31-8547-8124-BD7FED401802}" name="%" dataDxfId="3"/>
    <tableColumn id="8" xr3:uid="{78B03FFB-BE2B-7C47-A179-C4A1C0877AD9}" name="% parcela" dataDxfId="2"/>
    <tableColumn id="9" xr3:uid="{EDEC934D-A6E8-45C0-8F3B-6F125EE9EEC0}" name="Tempo" dataDxfId="1"/>
    <tableColumn id="10" xr3:uid="{D2D8F52A-A9C2-4FF2-B6CB-50439962DC7D}" name="Soma Tempo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rilha de Vapor">
  <a:themeElements>
    <a:clrScheme name="Trilha de Vapor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Trilha de Vapor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rilha de Vapor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ECB1-1763-5746-B094-082B31693B57}">
  <dimension ref="A6:X61"/>
  <sheetViews>
    <sheetView zoomScale="70" zoomScaleNormal="70" workbookViewId="0">
      <selection activeCell="I11" sqref="I11"/>
    </sheetView>
  </sheetViews>
  <sheetFormatPr defaultColWidth="8.796875" defaultRowHeight="13.8"/>
  <cols>
    <col min="1" max="1" width="21.19921875" style="46" bestFit="1" customWidth="1"/>
    <col min="2" max="2" width="20" style="46" customWidth="1"/>
    <col min="3" max="3" width="13.296875" style="62" customWidth="1"/>
    <col min="4" max="4" width="20.19921875" style="62" bestFit="1" customWidth="1"/>
    <col min="5" max="7" width="20" style="46" customWidth="1"/>
    <col min="8" max="10" width="8.796875" style="46"/>
    <col min="11" max="11" width="16.296875" style="46" customWidth="1"/>
    <col min="12" max="12" width="15.69921875" style="46" bestFit="1" customWidth="1"/>
    <col min="13" max="16384" width="8.796875" style="46"/>
  </cols>
  <sheetData>
    <row r="6" spans="1:1">
      <c r="A6" s="60"/>
    </row>
    <row r="29" spans="1:24" s="62" customFormat="1">
      <c r="A29" s="46"/>
      <c r="B29" s="47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3" spans="7:11" s="62" customFormat="1">
      <c r="G33" s="63"/>
      <c r="J33" s="94"/>
      <c r="K33" s="94"/>
    </row>
    <row r="34" spans="7:11">
      <c r="G34" s="60"/>
      <c r="J34" s="63"/>
      <c r="K34" s="63"/>
    </row>
    <row r="35" spans="7:11">
      <c r="G35" s="60"/>
      <c r="J35" s="84"/>
      <c r="K35" s="85"/>
    </row>
    <row r="36" spans="7:11">
      <c r="G36" s="60"/>
      <c r="J36" s="84"/>
      <c r="K36" s="85"/>
    </row>
    <row r="37" spans="7:11">
      <c r="G37" s="60"/>
      <c r="J37" s="84"/>
      <c r="K37" s="85"/>
    </row>
    <row r="38" spans="7:11">
      <c r="G38" s="60"/>
      <c r="J38" s="84"/>
      <c r="K38" s="85"/>
    </row>
    <row r="39" spans="7:11">
      <c r="G39" s="60"/>
    </row>
    <row r="40" spans="7:11">
      <c r="G40" s="60"/>
    </row>
    <row r="41" spans="7:11" s="64" customFormat="1"/>
    <row r="53" spans="1:5" ht="17.399999999999999">
      <c r="A53" s="92" t="s">
        <v>14</v>
      </c>
      <c r="B53" s="92" t="s">
        <v>15</v>
      </c>
      <c r="C53" s="92" t="s">
        <v>16</v>
      </c>
      <c r="D53" s="92" t="s">
        <v>2</v>
      </c>
      <c r="E53" s="92" t="s">
        <v>17</v>
      </c>
    </row>
    <row r="54" spans="1:5" ht="17.399999999999999">
      <c r="A54" s="88" t="str">
        <f>'Simulador Rentabilidade'!A28</f>
        <v>ATO</v>
      </c>
      <c r="B54" s="89">
        <f>'Simulador Rentabilidade'!B28</f>
        <v>45748</v>
      </c>
      <c r="C54" s="87">
        <f>'Simulador Rentabilidade'!C28</f>
        <v>1</v>
      </c>
      <c r="D54" s="71">
        <f>'Simulador Rentabilidade'!D28</f>
        <v>41000</v>
      </c>
      <c r="E54" s="71">
        <f>Table357[[#This Row],[Valor]]</f>
        <v>41000</v>
      </c>
    </row>
    <row r="55" spans="1:5" ht="17.399999999999999">
      <c r="A55" s="88" t="str">
        <f>'Simulador Rentabilidade'!A29</f>
        <v>SINAL</v>
      </c>
      <c r="B55" s="89">
        <f>'Simulador Rentabilidade'!B29</f>
        <v>45778</v>
      </c>
      <c r="C55" s="87">
        <f>'Simulador Rentabilidade'!C29</f>
        <v>3</v>
      </c>
      <c r="D55" s="71">
        <f>'Simulador Rentabilidade'!D29</f>
        <v>6833.333333333333</v>
      </c>
      <c r="E55" s="71">
        <f>'Simulador Rentabilidade'!E29</f>
        <v>20500</v>
      </c>
    </row>
    <row r="56" spans="1:5" ht="17.399999999999999">
      <c r="A56" s="88" t="str">
        <f>'Simulador Rentabilidade'!A30</f>
        <v>MENSAIS</v>
      </c>
      <c r="B56" s="89">
        <f>'Simulador Rentabilidade'!B30</f>
        <v>45870</v>
      </c>
      <c r="C56" s="87">
        <f>'Simulador Rentabilidade'!C30</f>
        <v>23</v>
      </c>
      <c r="D56" s="71">
        <f>'Simulador Rentabilidade'!D30</f>
        <v>891.304347826087</v>
      </c>
      <c r="E56" s="71">
        <f>'Simulador Rentabilidade'!E30</f>
        <v>20500</v>
      </c>
    </row>
    <row r="57" spans="1:5" ht="17.399999999999999">
      <c r="A57" s="88" t="str">
        <f>'Simulador Rentabilidade'!A31</f>
        <v>ANUAIS</v>
      </c>
      <c r="B57" s="89">
        <f>'Simulador Rentabilidade'!B31</f>
        <v>46113</v>
      </c>
      <c r="C57" s="87">
        <f>'Simulador Rentabilidade'!C31</f>
        <v>2</v>
      </c>
      <c r="D57" s="71">
        <f>'Simulador Rentabilidade'!D31</f>
        <v>10250</v>
      </c>
      <c r="E57" s="71">
        <f>'Simulador Rentabilidade'!E31</f>
        <v>20500</v>
      </c>
    </row>
    <row r="58" spans="1:5" ht="17.399999999999999">
      <c r="A58" s="88" t="str">
        <f>'Simulador Rentabilidade'!A32</f>
        <v>ÚNICA</v>
      </c>
      <c r="B58" s="89">
        <f>'Simulador Rentabilidade'!B32</f>
        <v>46784</v>
      </c>
      <c r="C58" s="87">
        <f>'Simulador Rentabilidade'!C32</f>
        <v>1</v>
      </c>
      <c r="D58" s="71">
        <f>'Simulador Rentabilidade'!D32</f>
        <v>20500</v>
      </c>
      <c r="E58" s="71">
        <f>'Simulador Rentabilidade'!E32</f>
        <v>20500</v>
      </c>
    </row>
    <row r="59" spans="1:5" ht="17.399999999999999">
      <c r="A59" s="88" t="str">
        <f>'Simulador Rentabilidade'!A33</f>
        <v>FINANCIAMENTO</v>
      </c>
      <c r="B59" s="89">
        <f>'Simulador Rentabilidade'!B33</f>
        <v>46813</v>
      </c>
      <c r="C59" s="87">
        <f>'Simulador Rentabilidade'!C33</f>
        <v>1</v>
      </c>
      <c r="D59" s="71">
        <f>'Simulador Rentabilidade'!D33</f>
        <v>286590</v>
      </c>
      <c r="E59" s="71">
        <f>'Simulador Rentabilidade'!E33</f>
        <v>286590</v>
      </c>
    </row>
    <row r="60" spans="1:5" ht="17.399999999999999">
      <c r="A60" s="88" t="str">
        <f>'Simulador Rentabilidade'!A34</f>
        <v>PERIODICIDADE</v>
      </c>
      <c r="B60" s="89">
        <f>'Simulador Rentabilidade'!B34</f>
        <v>46844</v>
      </c>
      <c r="C60" s="87">
        <f>'Simulador Rentabilidade'!C34</f>
        <v>1</v>
      </c>
      <c r="D60" s="71">
        <f>'Simulador Rentabilidade'!D34</f>
        <v>410</v>
      </c>
      <c r="E60" s="71">
        <f>'Simulador Rentabilidade'!E34</f>
        <v>410</v>
      </c>
    </row>
    <row r="61" spans="1:5" ht="17.399999999999999">
      <c r="A61" s="87"/>
      <c r="B61" s="87"/>
      <c r="C61" s="87"/>
      <c r="D61" s="90" t="str">
        <f>'Simulador Rentabilidade'!D35</f>
        <v>Total</v>
      </c>
      <c r="E61" s="91">
        <f>'Simulador Rentabilidade'!E35</f>
        <v>410000</v>
      </c>
    </row>
  </sheetData>
  <mergeCells count="1">
    <mergeCell ref="J33:K3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A9AA-9B7C-4989-AF6C-09AACB8226E2}">
  <sheetPr codeName="Planilha2"/>
  <dimension ref="A2:X30"/>
  <sheetViews>
    <sheetView tabSelected="1" zoomScale="60" zoomScaleNormal="60" workbookViewId="0">
      <selection activeCell="O37" sqref="O37"/>
    </sheetView>
  </sheetViews>
  <sheetFormatPr defaultColWidth="8.796875" defaultRowHeight="13.8"/>
  <cols>
    <col min="1" max="1" width="7.69921875" style="46" customWidth="1"/>
    <col min="2" max="2" width="20" style="46" customWidth="1"/>
    <col min="3" max="4" width="13.296875" style="62" customWidth="1"/>
    <col min="5" max="7" width="20" style="46" customWidth="1"/>
    <col min="8" max="10" width="8.69921875" style="46"/>
    <col min="11" max="11" width="16.296875" style="46" customWidth="1"/>
    <col min="12" max="12" width="15.69921875" style="46" bestFit="1" customWidth="1"/>
    <col min="13" max="24" width="8.69921875" style="46"/>
  </cols>
  <sheetData>
    <row r="2" spans="1:1">
      <c r="A2" s="46">
        <v>0</v>
      </c>
    </row>
    <row r="6" spans="1:1">
      <c r="A6" s="60"/>
    </row>
    <row r="29" spans="2:2">
      <c r="B29" s="47"/>
    </row>
    <row r="30" spans="2:2">
      <c r="B30" s="4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6"/>
  </sheetPr>
  <dimension ref="A1:L60"/>
  <sheetViews>
    <sheetView topLeftCell="A13" zoomScaleNormal="90" workbookViewId="0">
      <selection activeCell="E19" sqref="E19"/>
    </sheetView>
  </sheetViews>
  <sheetFormatPr defaultColWidth="8.796875" defaultRowHeight="13.8"/>
  <cols>
    <col min="1" max="1" width="52.5" style="1" bestFit="1" customWidth="1"/>
    <col min="2" max="2" width="27" style="1" bestFit="1" customWidth="1"/>
    <col min="3" max="3" width="15.296875" style="18" bestFit="1" customWidth="1"/>
    <col min="4" max="4" width="15.69921875" style="18" bestFit="1" customWidth="1"/>
    <col min="5" max="5" width="15" style="18" bestFit="1" customWidth="1"/>
    <col min="6" max="6" width="8.796875" style="18"/>
    <col min="7" max="7" width="12.5" style="18" customWidth="1"/>
    <col min="8" max="8" width="11" style="18" bestFit="1" customWidth="1"/>
    <col min="9" max="9" width="16.19921875" style="21" bestFit="1" customWidth="1"/>
    <col min="10" max="10" width="12.796875" style="19" bestFit="1" customWidth="1"/>
    <col min="11" max="11" width="6" style="21" customWidth="1"/>
    <col min="12" max="12" width="8.796875" style="18"/>
    <col min="13" max="16384" width="8.796875" style="1"/>
  </cols>
  <sheetData>
    <row r="1" spans="1:12" s="59" customFormat="1" ht="1.95" customHeight="1">
      <c r="A1" s="53"/>
      <c r="B1" s="53"/>
      <c r="C1" s="54"/>
      <c r="D1" s="54"/>
      <c r="E1" s="54"/>
      <c r="F1" s="54"/>
      <c r="G1" s="54"/>
      <c r="H1" s="55"/>
      <c r="I1" s="56"/>
      <c r="J1" s="57"/>
      <c r="K1" s="56"/>
      <c r="L1" s="58"/>
    </row>
    <row r="2" spans="1:12">
      <c r="A2" s="95" t="s">
        <v>0</v>
      </c>
      <c r="B2" s="96"/>
      <c r="H2" s="22"/>
      <c r="L2" s="23"/>
    </row>
    <row r="3" spans="1:12" s="59" customFormat="1" ht="1.95" customHeight="1">
      <c r="A3" s="53"/>
      <c r="B3" s="53"/>
      <c r="C3" s="54"/>
      <c r="D3" s="54"/>
      <c r="E3" s="54"/>
      <c r="F3" s="54"/>
      <c r="G3" s="54"/>
      <c r="H3" s="55"/>
      <c r="I3" s="56"/>
      <c r="J3" s="57"/>
      <c r="K3" s="56"/>
      <c r="L3" s="58"/>
    </row>
    <row r="4" spans="1:12" ht="14.4">
      <c r="A4" s="11" t="s">
        <v>1</v>
      </c>
      <c r="B4" s="12" t="s">
        <v>2</v>
      </c>
      <c r="H4" s="22"/>
      <c r="L4" s="23"/>
    </row>
    <row r="5" spans="1:12" ht="17.399999999999999">
      <c r="A5" s="7" t="s">
        <v>3</v>
      </c>
      <c r="B5" s="74">
        <v>32400</v>
      </c>
      <c r="H5" s="22"/>
      <c r="L5" s="23"/>
    </row>
    <row r="6" spans="1:12" ht="17.399999999999999">
      <c r="A6" s="7" t="s">
        <v>4</v>
      </c>
      <c r="B6" s="75">
        <v>25</v>
      </c>
      <c r="H6" s="22"/>
      <c r="L6" s="23"/>
    </row>
    <row r="7" spans="1:12">
      <c r="A7" s="7" t="s">
        <v>41</v>
      </c>
      <c r="B7" s="93" t="s">
        <v>43</v>
      </c>
      <c r="C7" s="18" t="s">
        <v>146</v>
      </c>
      <c r="H7" s="22"/>
      <c r="L7" s="23"/>
    </row>
    <row r="8" spans="1:12">
      <c r="A8" s="7" t="s">
        <v>5</v>
      </c>
      <c r="B8" s="8" t="str">
        <f>VLOOKUP(B7,Endereços!$A$2:$C$37,3,FALSE)</f>
        <v>Vila Mariana</v>
      </c>
      <c r="C8" s="18" t="s">
        <v>57</v>
      </c>
      <c r="H8" s="22"/>
      <c r="L8" s="23"/>
    </row>
    <row r="9" spans="1:12">
      <c r="A9" s="7" t="s">
        <v>44</v>
      </c>
      <c r="B9" s="61" t="str">
        <f>VLOOKUP(B7,Endereços!A:B,2,FALSE)</f>
        <v>Rua Domingos de Morais, 3093</v>
      </c>
      <c r="C9" s="18" t="s">
        <v>57</v>
      </c>
      <c r="H9" s="22"/>
      <c r="L9" s="23"/>
    </row>
    <row r="10" spans="1:12">
      <c r="A10" s="7" t="s">
        <v>6</v>
      </c>
      <c r="B10" s="8">
        <f>VLOOKUP(B8,'Diária por Bairro'!$A$2:$B$23,2,FALSE)</f>
        <v>300</v>
      </c>
      <c r="C10" s="18" t="s">
        <v>57</v>
      </c>
      <c r="H10" s="22"/>
      <c r="L10" s="23"/>
    </row>
    <row r="11" spans="1:12">
      <c r="A11" s="7" t="s">
        <v>7</v>
      </c>
      <c r="B11" s="4">
        <v>0.75</v>
      </c>
      <c r="H11" s="22"/>
      <c r="L11" s="23"/>
    </row>
    <row r="12" spans="1:12">
      <c r="A12" s="7" t="s">
        <v>8</v>
      </c>
      <c r="B12" s="4">
        <v>0.24</v>
      </c>
      <c r="I12" s="24"/>
      <c r="J12" s="25"/>
      <c r="K12" s="24"/>
    </row>
    <row r="13" spans="1:12" ht="18">
      <c r="A13" s="9" t="s">
        <v>9</v>
      </c>
      <c r="B13" s="8"/>
    </row>
    <row r="14" spans="1:12" ht="18">
      <c r="A14" s="78" t="s">
        <v>152</v>
      </c>
      <c r="B14" s="72">
        <v>123410</v>
      </c>
    </row>
    <row r="15" spans="1:12" ht="18">
      <c r="A15" s="78" t="s">
        <v>150</v>
      </c>
      <c r="B15" s="72">
        <v>286590</v>
      </c>
    </row>
    <row r="16" spans="1:12">
      <c r="A16" s="7" t="s">
        <v>10</v>
      </c>
      <c r="B16" s="72">
        <v>410000</v>
      </c>
      <c r="C16" s="18" t="s">
        <v>57</v>
      </c>
    </row>
    <row r="17" spans="1:11">
      <c r="A17" s="7" t="s">
        <v>11</v>
      </c>
      <c r="B17" s="3">
        <f>B10*(B11*30)</f>
        <v>6750</v>
      </c>
      <c r="C17" s="18" t="s">
        <v>57</v>
      </c>
      <c r="D17" s="20"/>
    </row>
    <row r="18" spans="1:11">
      <c r="A18" s="7" t="s">
        <v>12</v>
      </c>
      <c r="B18" s="3">
        <f>B12*B17</f>
        <v>1620</v>
      </c>
      <c r="C18" s="18" t="s">
        <v>57</v>
      </c>
    </row>
    <row r="19" spans="1:11">
      <c r="A19" s="7" t="s">
        <v>13</v>
      </c>
      <c r="B19" s="3">
        <f>B17-B18</f>
        <v>5130</v>
      </c>
      <c r="C19" s="18" t="s">
        <v>57</v>
      </c>
    </row>
    <row r="20" spans="1:11">
      <c r="A20" s="7" t="s">
        <v>158</v>
      </c>
      <c r="B20" s="5">
        <f>B19/B16</f>
        <v>1.251219512195122E-2</v>
      </c>
      <c r="C20" s="18" t="s">
        <v>57</v>
      </c>
    </row>
    <row r="21" spans="1:11">
      <c r="A21" s="10" t="s">
        <v>155</v>
      </c>
      <c r="B21" s="6">
        <v>0.16</v>
      </c>
      <c r="C21" s="18" t="s">
        <v>57</v>
      </c>
    </row>
    <row r="22" spans="1:11">
      <c r="A22" s="7" t="s">
        <v>156</v>
      </c>
      <c r="B22" s="5">
        <f>B19/B14</f>
        <v>4.1568754557977476E-2</v>
      </c>
      <c r="C22" s="18" t="s">
        <v>57</v>
      </c>
    </row>
    <row r="23" spans="1:11">
      <c r="A23" s="79" t="s">
        <v>157</v>
      </c>
      <c r="B23" s="80">
        <f>B22*12</f>
        <v>0.49882505469572969</v>
      </c>
      <c r="C23" s="18" t="s">
        <v>57</v>
      </c>
    </row>
    <row r="24" spans="1:11">
      <c r="A24" s="10" t="s">
        <v>154</v>
      </c>
      <c r="B24" s="82">
        <v>0.32</v>
      </c>
    </row>
    <row r="25" spans="1:11">
      <c r="A25" s="79" t="s">
        <v>153</v>
      </c>
      <c r="B25" s="83">
        <f>B16+(B16*B24)</f>
        <v>541200</v>
      </c>
    </row>
    <row r="26" spans="1:11">
      <c r="A26" s="2"/>
      <c r="B26" s="2"/>
    </row>
    <row r="27" spans="1:11" s="68" customFormat="1" ht="13.2">
      <c r="A27" s="65" t="s">
        <v>14</v>
      </c>
      <c r="B27" s="66" t="s">
        <v>15</v>
      </c>
      <c r="C27" s="73" t="s">
        <v>147</v>
      </c>
      <c r="D27" s="66" t="s">
        <v>2</v>
      </c>
      <c r="E27" s="66" t="s">
        <v>18</v>
      </c>
      <c r="F27" s="66" t="s">
        <v>19</v>
      </c>
      <c r="G27" s="67" t="s">
        <v>20</v>
      </c>
      <c r="H27" s="66" t="s">
        <v>148</v>
      </c>
      <c r="I27" s="66" t="s">
        <v>151</v>
      </c>
      <c r="J27" s="70"/>
      <c r="K27" s="69"/>
    </row>
    <row r="28" spans="1:11" ht="14.4">
      <c r="A28" s="13" t="s">
        <v>21</v>
      </c>
      <c r="B28" s="76">
        <v>45748</v>
      </c>
      <c r="C28" s="77">
        <v>1</v>
      </c>
      <c r="D28" s="31">
        <f>SUM(E35)*F28</f>
        <v>41000</v>
      </c>
      <c r="E28" s="31">
        <f t="shared" ref="E28:E34" si="0">SUM(C28)*D28</f>
        <v>41000</v>
      </c>
      <c r="F28" s="32">
        <v>0.1</v>
      </c>
      <c r="G28" s="33">
        <f t="shared" ref="G28:G34" si="1">SUM(F28/C28)</f>
        <v>0.1</v>
      </c>
      <c r="H28" s="14" t="s">
        <v>149</v>
      </c>
      <c r="I28" s="14"/>
    </row>
    <row r="29" spans="1:11" ht="14.4">
      <c r="A29" s="13" t="s">
        <v>22</v>
      </c>
      <c r="B29" s="76">
        <v>45778</v>
      </c>
      <c r="C29" s="77">
        <v>3</v>
      </c>
      <c r="D29" s="31">
        <f>SUM(E35)*F29/C29</f>
        <v>6833.333333333333</v>
      </c>
      <c r="E29" s="31">
        <f t="shared" si="0"/>
        <v>20500</v>
      </c>
      <c r="F29" s="32">
        <v>0.05</v>
      </c>
      <c r="G29" s="33">
        <f t="shared" si="1"/>
        <v>1.6666666666666666E-2</v>
      </c>
      <c r="H29" s="14" t="s">
        <v>149</v>
      </c>
      <c r="I29" s="14"/>
    </row>
    <row r="30" spans="1:11" ht="14.4">
      <c r="A30" s="13" t="s">
        <v>23</v>
      </c>
      <c r="B30" s="76">
        <v>45870</v>
      </c>
      <c r="C30" s="77">
        <v>23</v>
      </c>
      <c r="D30" s="31">
        <f>SUM(E35)*F30/C30</f>
        <v>891.304347826087</v>
      </c>
      <c r="E30" s="31">
        <f t="shared" si="0"/>
        <v>20500</v>
      </c>
      <c r="F30" s="32">
        <v>0.05</v>
      </c>
      <c r="G30" s="33">
        <f t="shared" si="1"/>
        <v>2.1739130434782609E-3</v>
      </c>
      <c r="H30" s="14" t="s">
        <v>149</v>
      </c>
      <c r="I30" s="14"/>
    </row>
    <row r="31" spans="1:11" ht="14.4">
      <c r="A31" s="13" t="s">
        <v>24</v>
      </c>
      <c r="B31" s="76">
        <v>46113</v>
      </c>
      <c r="C31" s="77">
        <v>2</v>
      </c>
      <c r="D31" s="31">
        <f>SUM(E35)*F31/C31</f>
        <v>10250</v>
      </c>
      <c r="E31" s="31">
        <f t="shared" si="0"/>
        <v>20500</v>
      </c>
      <c r="F31" s="32">
        <v>0.05</v>
      </c>
      <c r="G31" s="33">
        <f t="shared" si="1"/>
        <v>2.5000000000000001E-2</v>
      </c>
      <c r="H31" s="14" t="s">
        <v>149</v>
      </c>
      <c r="I31" s="14"/>
    </row>
    <row r="32" spans="1:11" ht="14.4">
      <c r="A32" s="13" t="s">
        <v>25</v>
      </c>
      <c r="B32" s="76">
        <v>46784</v>
      </c>
      <c r="C32" s="77">
        <v>1</v>
      </c>
      <c r="D32" s="31">
        <f>SUM(E35)*F32/C32</f>
        <v>20500</v>
      </c>
      <c r="E32" s="31">
        <f t="shared" si="0"/>
        <v>20500</v>
      </c>
      <c r="F32" s="32">
        <v>0.05</v>
      </c>
      <c r="G32" s="33">
        <f t="shared" si="1"/>
        <v>0.05</v>
      </c>
      <c r="H32" s="14" t="s">
        <v>149</v>
      </c>
      <c r="I32" s="15">
        <f>SUM(F28:F32)</f>
        <v>0.3</v>
      </c>
    </row>
    <row r="33" spans="1:9" ht="14.4">
      <c r="A33" s="13" t="s">
        <v>26</v>
      </c>
      <c r="B33" s="76">
        <v>46813</v>
      </c>
      <c r="C33" s="77">
        <v>1</v>
      </c>
      <c r="D33" s="31">
        <f>SUM(E35)*F33/C33</f>
        <v>286590</v>
      </c>
      <c r="E33" s="31">
        <f t="shared" si="0"/>
        <v>286590</v>
      </c>
      <c r="F33" s="32">
        <v>0.69899999999999995</v>
      </c>
      <c r="G33" s="33">
        <f t="shared" si="1"/>
        <v>0.69899999999999995</v>
      </c>
      <c r="H33" s="14" t="s">
        <v>150</v>
      </c>
      <c r="I33" s="14"/>
    </row>
    <row r="34" spans="1:9" ht="14.4">
      <c r="A34" s="13" t="s">
        <v>27</v>
      </c>
      <c r="B34" s="76">
        <v>46844</v>
      </c>
      <c r="C34" s="77">
        <v>1</v>
      </c>
      <c r="D34" s="31">
        <f>SUM(E35)*F34/C34</f>
        <v>410</v>
      </c>
      <c r="E34" s="31">
        <f t="shared" si="0"/>
        <v>410</v>
      </c>
      <c r="F34" s="32">
        <v>1E-3</v>
      </c>
      <c r="G34" s="33">
        <f t="shared" si="1"/>
        <v>1E-3</v>
      </c>
      <c r="H34" s="14" t="s">
        <v>150</v>
      </c>
      <c r="I34" s="15">
        <f>SUM(G33:G34)</f>
        <v>0.7</v>
      </c>
    </row>
    <row r="35" spans="1:9" ht="15.6">
      <c r="A35" s="16"/>
      <c r="B35" s="17"/>
      <c r="C35" s="34"/>
      <c r="D35" s="86" t="s">
        <v>18</v>
      </c>
      <c r="E35" s="35">
        <v>410000</v>
      </c>
      <c r="F35" s="36"/>
      <c r="G35" s="37"/>
      <c r="H35" s="14"/>
      <c r="I35" s="14"/>
    </row>
    <row r="37" spans="1:9">
      <c r="A37" s="44"/>
      <c r="B37" s="44"/>
      <c r="C37" s="44"/>
      <c r="D37" s="44"/>
      <c r="E37" s="44"/>
      <c r="F37" s="44"/>
      <c r="G37" s="44"/>
    </row>
    <row r="38" spans="1:9">
      <c r="A38" s="44"/>
      <c r="B38" s="44"/>
      <c r="C38" s="44"/>
      <c r="D38" s="44"/>
      <c r="E38" s="44"/>
      <c r="F38" s="44"/>
      <c r="G38" s="44"/>
    </row>
    <row r="39" spans="1:9">
      <c r="A39" s="44"/>
      <c r="B39" s="44" t="s">
        <v>28</v>
      </c>
      <c r="C39" s="44"/>
      <c r="D39" s="44"/>
      <c r="E39" s="44"/>
      <c r="F39" s="44"/>
      <c r="G39" s="44"/>
    </row>
    <row r="40" spans="1:9">
      <c r="A40" s="44"/>
      <c r="B40" s="44" t="s">
        <v>29</v>
      </c>
      <c r="C40" s="44"/>
      <c r="D40" s="44"/>
      <c r="E40" s="44"/>
      <c r="F40" s="44"/>
      <c r="G40" s="44"/>
    </row>
    <row r="41" spans="1:9">
      <c r="A41" s="44"/>
      <c r="B41" s="44" t="s">
        <v>30</v>
      </c>
      <c r="C41" s="44"/>
      <c r="D41" s="44"/>
      <c r="E41" s="44"/>
      <c r="F41" s="44"/>
      <c r="G41" s="44"/>
    </row>
    <row r="42" spans="1:9">
      <c r="A42" s="44"/>
      <c r="B42" s="44" t="s">
        <v>31</v>
      </c>
      <c r="C42" s="44"/>
      <c r="D42" s="44"/>
      <c r="E42" s="44"/>
      <c r="F42" s="44"/>
      <c r="G42" s="44"/>
    </row>
    <row r="43" spans="1:9">
      <c r="A43" s="44"/>
      <c r="B43" s="44"/>
      <c r="C43" s="44"/>
      <c r="D43" s="44"/>
      <c r="E43" s="44"/>
      <c r="F43" s="44"/>
      <c r="G43" s="44"/>
    </row>
    <row r="44" spans="1:9">
      <c r="A44" s="44"/>
      <c r="B44" s="44"/>
      <c r="C44" s="44"/>
      <c r="D44" s="44"/>
      <c r="E44" s="44"/>
      <c r="F44" s="44"/>
      <c r="G44" s="44"/>
    </row>
    <row r="45" spans="1:9">
      <c r="A45" s="44"/>
      <c r="B45" s="44"/>
      <c r="C45" s="44"/>
      <c r="D45" s="44"/>
      <c r="E45" s="44"/>
      <c r="F45" s="44"/>
      <c r="G45" s="44"/>
    </row>
    <row r="46" spans="1:9">
      <c r="A46" s="44"/>
      <c r="B46" s="44"/>
      <c r="C46" s="44"/>
      <c r="D46" s="44"/>
      <c r="E46" s="44"/>
      <c r="F46" s="44"/>
      <c r="G46" s="44"/>
    </row>
    <row r="47" spans="1:9">
      <c r="A47" s="44"/>
      <c r="B47" s="44"/>
      <c r="C47" s="44"/>
      <c r="D47" s="44"/>
      <c r="E47" s="44"/>
      <c r="F47" s="44"/>
      <c r="G47" s="44"/>
    </row>
    <row r="48" spans="1:9">
      <c r="A48" s="44"/>
      <c r="B48" s="44"/>
      <c r="C48" s="44"/>
      <c r="D48" s="44"/>
      <c r="E48" s="44"/>
      <c r="F48" s="44"/>
      <c r="G48" s="44"/>
    </row>
    <row r="49" spans="1:7">
      <c r="A49" s="44"/>
      <c r="B49" s="44"/>
      <c r="C49" s="44"/>
      <c r="D49" s="44"/>
      <c r="E49" s="44"/>
      <c r="F49" s="44"/>
      <c r="G49" s="44"/>
    </row>
    <row r="50" spans="1:7">
      <c r="A50" s="44"/>
      <c r="B50" s="44"/>
      <c r="C50" s="44"/>
      <c r="D50" s="44"/>
      <c r="E50" s="44"/>
      <c r="F50" s="44"/>
      <c r="G50" s="44"/>
    </row>
    <row r="51" spans="1:7">
      <c r="A51" s="44"/>
      <c r="B51" s="44"/>
      <c r="C51" s="44"/>
      <c r="D51" s="44"/>
      <c r="E51" s="44"/>
      <c r="F51" s="44"/>
      <c r="G51" s="44"/>
    </row>
    <row r="52" spans="1:7">
      <c r="A52" s="44"/>
      <c r="B52" s="44"/>
      <c r="C52" s="44"/>
      <c r="D52" s="44"/>
      <c r="E52" s="44"/>
      <c r="F52" s="44"/>
      <c r="G52" s="44"/>
    </row>
    <row r="53" spans="1:7">
      <c r="A53" s="44"/>
      <c r="B53" s="44"/>
      <c r="C53" s="44"/>
      <c r="D53" s="44"/>
      <c r="E53" s="44"/>
      <c r="F53" s="44"/>
      <c r="G53" s="44"/>
    </row>
    <row r="54" spans="1:7">
      <c r="A54" s="44"/>
      <c r="B54" s="44"/>
      <c r="C54" s="44"/>
      <c r="D54" s="44"/>
      <c r="E54" s="44"/>
      <c r="F54" s="44"/>
      <c r="G54" s="44"/>
    </row>
    <row r="55" spans="1:7">
      <c r="A55" s="44"/>
      <c r="B55" s="44"/>
      <c r="C55" s="44"/>
      <c r="D55" s="44"/>
      <c r="E55" s="44"/>
      <c r="F55" s="44"/>
      <c r="G55" s="44"/>
    </row>
    <row r="56" spans="1:7">
      <c r="A56" s="44"/>
      <c r="B56" s="44"/>
      <c r="C56" s="44"/>
      <c r="D56" s="44"/>
      <c r="E56" s="44"/>
      <c r="F56" s="44"/>
      <c r="G56" s="44"/>
    </row>
    <row r="57" spans="1:7">
      <c r="A57" s="44"/>
      <c r="B57" s="44"/>
      <c r="C57" s="44"/>
      <c r="D57" s="44"/>
      <c r="E57" s="44"/>
      <c r="F57" s="44"/>
      <c r="G57" s="44"/>
    </row>
    <row r="58" spans="1:7">
      <c r="A58" s="44"/>
      <c r="B58" s="44"/>
      <c r="C58" s="44"/>
      <c r="D58" s="44"/>
      <c r="E58" s="44"/>
      <c r="F58" s="44"/>
      <c r="G58" s="44"/>
    </row>
    <row r="59" spans="1:7">
      <c r="A59" s="44"/>
      <c r="B59" s="44"/>
      <c r="C59" s="44"/>
      <c r="D59" s="44"/>
      <c r="E59" s="44"/>
      <c r="F59" s="44"/>
      <c r="G59" s="44"/>
    </row>
    <row r="60" spans="1:7">
      <c r="A60" s="44"/>
      <c r="B60" s="44"/>
      <c r="C60" s="44"/>
      <c r="D60" s="44"/>
      <c r="E60" s="44"/>
      <c r="F60" s="44"/>
      <c r="G60" s="44"/>
    </row>
  </sheetData>
  <sheetProtection selectLockedCells="1"/>
  <mergeCells count="1">
    <mergeCell ref="A2:B2"/>
  </mergeCells>
  <phoneticPr fontId="9" type="noConversion"/>
  <pageMargins left="0.75" right="0.75" top="1" bottom="1" header="0.5" footer="0.5"/>
  <pageSetup paperSize="9" orientation="portrait" horizontalDpi="0" verticalDpi="0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1DA115-101B-471F-BA24-0E969E8267E0}">
          <x14:formula1>
            <xm:f>Endereços!$A$2:$A$37</xm:f>
          </x14:formula1>
          <xm:sqref>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8D84-A18B-4EDF-A299-64065B3F91C2}">
  <sheetPr codeName="Planilha3"/>
  <dimension ref="A1:F27"/>
  <sheetViews>
    <sheetView showGridLines="0" zoomScale="90" zoomScaleNormal="90" workbookViewId="0">
      <selection activeCell="H21" sqref="H21"/>
    </sheetView>
  </sheetViews>
  <sheetFormatPr defaultColWidth="8.796875" defaultRowHeight="13.8"/>
  <cols>
    <col min="1" max="4" width="16.69921875" bestFit="1" customWidth="1"/>
    <col min="5" max="6" width="11.19921875" bestFit="1" customWidth="1"/>
    <col min="7" max="8" width="10.69921875" bestFit="1" customWidth="1"/>
    <col min="9" max="9" width="7.296875" bestFit="1" customWidth="1"/>
    <col min="10" max="10" width="11.19921875" bestFit="1" customWidth="1"/>
  </cols>
  <sheetData>
    <row r="1" spans="1:6">
      <c r="A1" s="98" t="s">
        <v>34</v>
      </c>
      <c r="B1" s="99"/>
      <c r="C1" s="99"/>
      <c r="D1" s="99"/>
      <c r="E1" s="30"/>
      <c r="F1" s="30"/>
    </row>
    <row r="2" spans="1:6">
      <c r="A2" s="97" t="s">
        <v>35</v>
      </c>
      <c r="B2" s="97"/>
      <c r="C2" s="97"/>
      <c r="D2" s="97"/>
      <c r="E2" s="30"/>
      <c r="F2" s="30"/>
    </row>
    <row r="3" spans="1:6">
      <c r="A3" s="26" t="s">
        <v>32</v>
      </c>
      <c r="B3" s="26" t="s">
        <v>33</v>
      </c>
      <c r="C3" s="26" t="s">
        <v>19</v>
      </c>
    </row>
    <row r="4" spans="1:6">
      <c r="A4" s="27">
        <v>15</v>
      </c>
      <c r="B4" s="28">
        <f>A4*'Simulador Rentabilidade'!$B$10-'Simulador Rentabilidade'!$B$18</f>
        <v>2880</v>
      </c>
      <c r="C4" s="29">
        <v>0.5</v>
      </c>
    </row>
    <row r="5" spans="1:6">
      <c r="A5" s="27">
        <v>18</v>
      </c>
      <c r="B5" s="28">
        <f>A5*'Simulador Rentabilidade'!$B$10-'Simulador Rentabilidade'!$B$18</f>
        <v>3780</v>
      </c>
      <c r="C5" s="29">
        <v>0.6</v>
      </c>
    </row>
    <row r="6" spans="1:6">
      <c r="A6" s="27">
        <v>21</v>
      </c>
      <c r="B6" s="28">
        <f>A6*'Simulador Rentabilidade'!$B$10-'Simulador Rentabilidade'!$B$18</f>
        <v>4680</v>
      </c>
      <c r="C6" s="29">
        <v>0.7</v>
      </c>
    </row>
    <row r="7" spans="1:6">
      <c r="A7" s="27">
        <v>22.5</v>
      </c>
      <c r="B7" s="28">
        <f>A7*'Simulador Rentabilidade'!$B$10-'Simulador Rentabilidade'!$B$18</f>
        <v>5130</v>
      </c>
      <c r="C7" s="29">
        <v>0.75</v>
      </c>
    </row>
    <row r="8" spans="1:6">
      <c r="A8" s="27">
        <v>24</v>
      </c>
      <c r="B8" s="28">
        <f>A8*'Simulador Rentabilidade'!$B$10-'Simulador Rentabilidade'!$B$18</f>
        <v>5580</v>
      </c>
      <c r="C8" s="29">
        <v>0.8</v>
      </c>
    </row>
    <row r="9" spans="1:6">
      <c r="A9" s="27">
        <v>27</v>
      </c>
      <c r="B9" s="28">
        <f>A9*'Simulador Rentabilidade'!$B$10-'Simulador Rentabilidade'!$B$18</f>
        <v>6480</v>
      </c>
      <c r="C9" s="29">
        <v>0.9</v>
      </c>
    </row>
    <row r="10" spans="1:6">
      <c r="A10" s="27">
        <v>30</v>
      </c>
      <c r="B10" s="28">
        <f>A10*'Simulador Rentabilidade'!$B$10-'Simulador Rentabilidade'!$B$18</f>
        <v>7380</v>
      </c>
      <c r="C10" s="29">
        <v>1</v>
      </c>
    </row>
    <row r="13" spans="1:6">
      <c r="A13" s="98" t="s">
        <v>39</v>
      </c>
      <c r="B13" s="99"/>
      <c r="C13" s="99"/>
      <c r="D13" s="99"/>
    </row>
    <row r="14" spans="1:6">
      <c r="A14" s="97" t="s">
        <v>40</v>
      </c>
      <c r="B14" s="97"/>
      <c r="C14" s="97"/>
      <c r="D14" s="97"/>
    </row>
    <row r="16" spans="1:6" ht="14.4">
      <c r="A16" s="42">
        <f>'Simulador Rentabilidade'!B16</f>
        <v>410000</v>
      </c>
      <c r="C16" s="43"/>
    </row>
    <row r="17" spans="1:4">
      <c r="A17" s="38" t="s">
        <v>36</v>
      </c>
      <c r="B17" s="38" t="s">
        <v>37</v>
      </c>
      <c r="C17" s="38" t="s">
        <v>38</v>
      </c>
    </row>
    <row r="18" spans="1:4">
      <c r="A18" s="39">
        <f>'Simulador Rentabilidade'!B28</f>
        <v>45748</v>
      </c>
      <c r="B18" s="41">
        <v>0</v>
      </c>
      <c r="C18" s="40">
        <f>$A$16+$A$16*B18</f>
        <v>410000</v>
      </c>
    </row>
    <row r="19" spans="1:4">
      <c r="A19" s="39">
        <v>46357</v>
      </c>
      <c r="B19" s="41">
        <v>0.2</v>
      </c>
      <c r="C19" s="40">
        <f>$A$16+$A$16*B19</f>
        <v>492000</v>
      </c>
    </row>
    <row r="20" spans="1:4">
      <c r="A20" s="39">
        <v>46722</v>
      </c>
      <c r="B20" s="41">
        <v>0.4</v>
      </c>
      <c r="C20" s="40">
        <f>$A$16+$A$16*B20</f>
        <v>574000</v>
      </c>
    </row>
    <row r="21" spans="1:4">
      <c r="A21" s="39">
        <v>47088</v>
      </c>
      <c r="B21" s="41">
        <v>0.6</v>
      </c>
      <c r="C21" s="40">
        <f>$A$16+$A$16*B21</f>
        <v>656000</v>
      </c>
    </row>
    <row r="24" spans="1:4">
      <c r="A24" s="98" t="s">
        <v>46</v>
      </c>
      <c r="B24" s="99"/>
      <c r="C24" s="99"/>
      <c r="D24" s="99"/>
    </row>
    <row r="25" spans="1:4">
      <c r="A25" s="97" t="s">
        <v>47</v>
      </c>
      <c r="B25" s="97"/>
      <c r="C25" s="97"/>
      <c r="D25" s="97"/>
    </row>
    <row r="26" spans="1:4">
      <c r="A26" s="38" t="s">
        <v>48</v>
      </c>
      <c r="B26" s="38" t="s">
        <v>50</v>
      </c>
      <c r="C26" s="45" t="s">
        <v>52</v>
      </c>
      <c r="D26" s="38" t="s">
        <v>51</v>
      </c>
    </row>
    <row r="27" spans="1:4">
      <c r="A27" s="81" t="s">
        <v>49</v>
      </c>
      <c r="B27" s="40">
        <f>'Simulador Rentabilidade'!B17</f>
        <v>6750</v>
      </c>
      <c r="C27" s="40">
        <f>'Simulador Rentabilidade'!B19</f>
        <v>5130</v>
      </c>
      <c r="D27" s="40">
        <f>'Simulador Rentabilidade'!B18</f>
        <v>1620</v>
      </c>
    </row>
  </sheetData>
  <sheetProtection sheet="1" objects="1" scenarios="1"/>
  <mergeCells count="6">
    <mergeCell ref="A25:D25"/>
    <mergeCell ref="A1:D1"/>
    <mergeCell ref="A13:D13"/>
    <mergeCell ref="A24:D24"/>
    <mergeCell ref="A2:D2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917F-9B41-4548-ABAD-AFE88C44D0D7}">
  <sheetPr codeName="Planilha4"/>
  <dimension ref="A1:C37"/>
  <sheetViews>
    <sheetView showGridLines="0" zoomScale="90" zoomScaleNormal="90" workbookViewId="0">
      <selection activeCell="A35" sqref="A35"/>
    </sheetView>
  </sheetViews>
  <sheetFormatPr defaultColWidth="8.796875" defaultRowHeight="13.8"/>
  <cols>
    <col min="1" max="1" width="27" bestFit="1" customWidth="1"/>
    <col min="2" max="2" width="41.796875" bestFit="1" customWidth="1"/>
    <col min="3" max="3" width="16.5" bestFit="1" customWidth="1"/>
  </cols>
  <sheetData>
    <row r="1" spans="1:3">
      <c r="A1" s="49" t="s">
        <v>41</v>
      </c>
      <c r="B1" s="49" t="s">
        <v>44</v>
      </c>
      <c r="C1" s="49" t="s">
        <v>5</v>
      </c>
    </row>
    <row r="2" spans="1:3">
      <c r="A2" s="50" t="s">
        <v>58</v>
      </c>
      <c r="B2" s="50" t="s">
        <v>86</v>
      </c>
      <c r="C2" s="50" t="s">
        <v>59</v>
      </c>
    </row>
    <row r="3" spans="1:3">
      <c r="A3" s="50" t="s">
        <v>61</v>
      </c>
      <c r="B3" s="50" t="s">
        <v>60</v>
      </c>
      <c r="C3" s="50" t="s">
        <v>55</v>
      </c>
    </row>
    <row r="4" spans="1:3">
      <c r="A4" s="50" t="s">
        <v>45</v>
      </c>
      <c r="B4" s="50" t="s">
        <v>85</v>
      </c>
      <c r="C4" s="50" t="s">
        <v>55</v>
      </c>
    </row>
    <row r="5" spans="1:3">
      <c r="A5" s="50" t="s">
        <v>42</v>
      </c>
      <c r="B5" s="50" t="s">
        <v>62</v>
      </c>
      <c r="C5" s="50" t="s">
        <v>63</v>
      </c>
    </row>
    <row r="6" spans="1:3">
      <c r="A6" s="50" t="s">
        <v>43</v>
      </c>
      <c r="B6" s="50" t="s">
        <v>54</v>
      </c>
      <c r="C6" s="50" t="s">
        <v>53</v>
      </c>
    </row>
    <row r="7" spans="1:3">
      <c r="A7" s="50" t="s">
        <v>64</v>
      </c>
      <c r="B7" s="50" t="s">
        <v>65</v>
      </c>
      <c r="C7" s="50" t="s">
        <v>66</v>
      </c>
    </row>
    <row r="8" spans="1:3">
      <c r="A8" s="50" t="s">
        <v>67</v>
      </c>
      <c r="B8" s="50" t="s">
        <v>84</v>
      </c>
      <c r="C8" s="50" t="s">
        <v>55</v>
      </c>
    </row>
    <row r="9" spans="1:3">
      <c r="A9" s="50" t="s">
        <v>69</v>
      </c>
      <c r="B9" s="50" t="s">
        <v>68</v>
      </c>
      <c r="C9" s="50" t="s">
        <v>63</v>
      </c>
    </row>
    <row r="10" spans="1:3">
      <c r="A10" s="50" t="s">
        <v>71</v>
      </c>
      <c r="B10" s="50" t="s">
        <v>70</v>
      </c>
      <c r="C10" s="50" t="s">
        <v>72</v>
      </c>
    </row>
    <row r="11" spans="1:3">
      <c r="A11" s="50" t="s">
        <v>73</v>
      </c>
      <c r="B11" s="50" t="s">
        <v>74</v>
      </c>
      <c r="C11" s="50" t="s">
        <v>75</v>
      </c>
    </row>
    <row r="12" spans="1:3">
      <c r="A12" s="50" t="s">
        <v>78</v>
      </c>
      <c r="B12" s="50" t="s">
        <v>76</v>
      </c>
      <c r="C12" s="50" t="s">
        <v>77</v>
      </c>
    </row>
    <row r="13" spans="1:3">
      <c r="A13" s="50" t="s">
        <v>81</v>
      </c>
      <c r="B13" s="50" t="s">
        <v>79</v>
      </c>
      <c r="C13" s="50" t="s">
        <v>80</v>
      </c>
    </row>
    <row r="14" spans="1:3">
      <c r="A14" s="50" t="s">
        <v>82</v>
      </c>
      <c r="B14" s="50" t="s">
        <v>83</v>
      </c>
      <c r="C14" s="50" t="s">
        <v>55</v>
      </c>
    </row>
    <row r="15" spans="1:3">
      <c r="A15" s="50" t="s">
        <v>88</v>
      </c>
      <c r="B15" s="50" t="s">
        <v>87</v>
      </c>
      <c r="C15" s="50" t="s">
        <v>89</v>
      </c>
    </row>
    <row r="16" spans="1:3">
      <c r="A16" s="50" t="s">
        <v>91</v>
      </c>
      <c r="B16" s="50" t="s">
        <v>94</v>
      </c>
      <c r="C16" s="50" t="s">
        <v>90</v>
      </c>
    </row>
    <row r="17" spans="1:3">
      <c r="A17" s="50" t="s">
        <v>92</v>
      </c>
      <c r="B17" s="50" t="s">
        <v>93</v>
      </c>
      <c r="C17" s="50" t="s">
        <v>80</v>
      </c>
    </row>
    <row r="18" spans="1:3">
      <c r="A18" s="50" t="s">
        <v>95</v>
      </c>
      <c r="B18" s="50" t="s">
        <v>96</v>
      </c>
      <c r="C18" s="50" t="s">
        <v>55</v>
      </c>
    </row>
    <row r="19" spans="1:3">
      <c r="A19" s="50" t="s">
        <v>97</v>
      </c>
      <c r="B19" s="50" t="s">
        <v>98</v>
      </c>
      <c r="C19" s="50" t="s">
        <v>99</v>
      </c>
    </row>
    <row r="20" spans="1:3">
      <c r="A20" s="50" t="s">
        <v>102</v>
      </c>
      <c r="B20" s="50" t="s">
        <v>100</v>
      </c>
      <c r="C20" s="50" t="s">
        <v>101</v>
      </c>
    </row>
    <row r="21" spans="1:3">
      <c r="A21" s="50" t="s">
        <v>104</v>
      </c>
      <c r="B21" s="50" t="s">
        <v>103</v>
      </c>
      <c r="C21" s="50" t="s">
        <v>53</v>
      </c>
    </row>
    <row r="22" spans="1:3">
      <c r="A22" s="50" t="s">
        <v>105</v>
      </c>
      <c r="B22" s="50" t="s">
        <v>106</v>
      </c>
      <c r="C22" s="50" t="s">
        <v>55</v>
      </c>
    </row>
    <row r="23" spans="1:3">
      <c r="A23" s="50" t="s">
        <v>108</v>
      </c>
      <c r="B23" s="50" t="s">
        <v>107</v>
      </c>
      <c r="C23" s="50" t="s">
        <v>75</v>
      </c>
    </row>
    <row r="24" spans="1:3">
      <c r="A24" s="50" t="s">
        <v>109</v>
      </c>
      <c r="B24" s="50" t="s">
        <v>110</v>
      </c>
      <c r="C24" s="50" t="s">
        <v>99</v>
      </c>
    </row>
    <row r="25" spans="1:3">
      <c r="A25" s="50" t="s">
        <v>111</v>
      </c>
      <c r="B25" s="50" t="s">
        <v>112</v>
      </c>
      <c r="C25" s="50" t="s">
        <v>113</v>
      </c>
    </row>
    <row r="26" spans="1:3">
      <c r="A26" s="50" t="s">
        <v>115</v>
      </c>
      <c r="B26" s="50" t="s">
        <v>114</v>
      </c>
      <c r="C26" s="50" t="s">
        <v>53</v>
      </c>
    </row>
    <row r="27" spans="1:3">
      <c r="A27" s="50" t="s">
        <v>116</v>
      </c>
      <c r="B27" s="50" t="s">
        <v>117</v>
      </c>
      <c r="C27" s="50" t="s">
        <v>75</v>
      </c>
    </row>
    <row r="28" spans="1:3">
      <c r="A28" s="50" t="s">
        <v>118</v>
      </c>
      <c r="B28" s="50" t="s">
        <v>119</v>
      </c>
      <c r="C28" s="50" t="s">
        <v>113</v>
      </c>
    </row>
    <row r="29" spans="1:3">
      <c r="A29" s="50" t="s">
        <v>120</v>
      </c>
      <c r="B29" s="50" t="s">
        <v>121</v>
      </c>
      <c r="C29" s="50" t="s">
        <v>66</v>
      </c>
    </row>
    <row r="30" spans="1:3">
      <c r="A30" s="50" t="s">
        <v>122</v>
      </c>
      <c r="B30" s="50" t="s">
        <v>123</v>
      </c>
      <c r="C30" s="50" t="s">
        <v>99</v>
      </c>
    </row>
    <row r="31" spans="1:3">
      <c r="A31" s="50" t="s">
        <v>125</v>
      </c>
      <c r="B31" s="50" t="s">
        <v>124</v>
      </c>
      <c r="C31" s="50" t="s">
        <v>75</v>
      </c>
    </row>
    <row r="32" spans="1:3">
      <c r="A32" s="50" t="s">
        <v>126</v>
      </c>
      <c r="B32" s="50" t="s">
        <v>127</v>
      </c>
      <c r="C32" s="50" t="s">
        <v>55</v>
      </c>
    </row>
    <row r="33" spans="1:3">
      <c r="A33" s="50" t="s">
        <v>129</v>
      </c>
      <c r="B33" s="50" t="s">
        <v>128</v>
      </c>
      <c r="C33" s="50" t="s">
        <v>113</v>
      </c>
    </row>
    <row r="34" spans="1:3">
      <c r="A34" s="50" t="s">
        <v>130</v>
      </c>
      <c r="B34" s="50" t="s">
        <v>131</v>
      </c>
      <c r="C34" s="50" t="s">
        <v>80</v>
      </c>
    </row>
    <row r="35" spans="1:3">
      <c r="A35" s="50" t="s">
        <v>133</v>
      </c>
      <c r="B35" s="50" t="s">
        <v>132</v>
      </c>
      <c r="C35" s="50" t="s">
        <v>89</v>
      </c>
    </row>
    <row r="36" spans="1:3">
      <c r="A36" s="50" t="s">
        <v>134</v>
      </c>
      <c r="B36" s="50" t="s">
        <v>135</v>
      </c>
      <c r="C36" s="50" t="s">
        <v>80</v>
      </c>
    </row>
    <row r="37" spans="1:3">
      <c r="A37" s="50" t="s">
        <v>136</v>
      </c>
      <c r="B37" s="50" t="s">
        <v>137</v>
      </c>
      <c r="C37" s="50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586B-1CA3-4E5A-BA58-FBB8A3078D0A}">
  <sheetPr codeName="Planilha6"/>
  <dimension ref="A1:B23"/>
  <sheetViews>
    <sheetView showGridLines="0" zoomScale="90" zoomScaleNormal="90" workbookViewId="0">
      <selection activeCell="A5" sqref="A5:B5"/>
    </sheetView>
  </sheetViews>
  <sheetFormatPr defaultColWidth="8.796875" defaultRowHeight="13.8"/>
  <cols>
    <col min="1" max="1" width="22.5" customWidth="1"/>
    <col min="2" max="2" width="13" style="48" customWidth="1"/>
  </cols>
  <sheetData>
    <row r="1" spans="1:2">
      <c r="A1" s="49" t="s">
        <v>5</v>
      </c>
      <c r="B1" s="51" t="s">
        <v>56</v>
      </c>
    </row>
    <row r="2" spans="1:2">
      <c r="A2" s="50" t="s">
        <v>59</v>
      </c>
      <c r="B2" s="52">
        <v>250</v>
      </c>
    </row>
    <row r="3" spans="1:2">
      <c r="A3" s="50" t="s">
        <v>55</v>
      </c>
      <c r="B3" s="52">
        <v>380</v>
      </c>
    </row>
    <row r="4" spans="1:2">
      <c r="A4" s="50" t="s">
        <v>63</v>
      </c>
      <c r="B4" s="52">
        <v>380</v>
      </c>
    </row>
    <row r="5" spans="1:2">
      <c r="A5" s="50" t="s">
        <v>53</v>
      </c>
      <c r="B5" s="52">
        <v>300</v>
      </c>
    </row>
    <row r="6" spans="1:2">
      <c r="A6" s="50" t="s">
        <v>66</v>
      </c>
      <c r="B6" s="52">
        <v>450</v>
      </c>
    </row>
    <row r="7" spans="1:2">
      <c r="A7" s="50" t="s">
        <v>72</v>
      </c>
      <c r="B7" s="52">
        <v>350</v>
      </c>
    </row>
    <row r="8" spans="1:2">
      <c r="A8" s="50" t="s">
        <v>75</v>
      </c>
      <c r="B8" s="52">
        <v>300</v>
      </c>
    </row>
    <row r="9" spans="1:2">
      <c r="A9" s="50" t="s">
        <v>77</v>
      </c>
      <c r="B9" s="52">
        <v>300</v>
      </c>
    </row>
    <row r="10" spans="1:2">
      <c r="A10" s="50" t="s">
        <v>80</v>
      </c>
      <c r="B10" s="52">
        <v>350</v>
      </c>
    </row>
    <row r="11" spans="1:2">
      <c r="A11" s="50" t="s">
        <v>89</v>
      </c>
      <c r="B11" s="52">
        <v>350</v>
      </c>
    </row>
    <row r="12" spans="1:2">
      <c r="A12" s="50" t="s">
        <v>90</v>
      </c>
      <c r="B12" s="52">
        <f t="shared" ref="B12:B23" si="0">B11-10</f>
        <v>340</v>
      </c>
    </row>
    <row r="13" spans="1:2">
      <c r="A13" s="50" t="s">
        <v>99</v>
      </c>
      <c r="B13" s="52">
        <v>395</v>
      </c>
    </row>
    <row r="14" spans="1:2">
      <c r="A14" s="50" t="s">
        <v>101</v>
      </c>
      <c r="B14" s="52">
        <f t="shared" si="0"/>
        <v>385</v>
      </c>
    </row>
    <row r="15" spans="1:2">
      <c r="A15" s="50" t="s">
        <v>113</v>
      </c>
      <c r="B15" s="52">
        <v>300</v>
      </c>
    </row>
    <row r="16" spans="1:2">
      <c r="A16" s="50" t="s">
        <v>138</v>
      </c>
      <c r="B16" s="52">
        <f t="shared" si="0"/>
        <v>290</v>
      </c>
    </row>
    <row r="17" spans="1:2">
      <c r="A17" s="50" t="s">
        <v>139</v>
      </c>
      <c r="B17" s="52">
        <f t="shared" si="0"/>
        <v>280</v>
      </c>
    </row>
    <row r="18" spans="1:2">
      <c r="A18" s="50" t="s">
        <v>140</v>
      </c>
      <c r="B18" s="52">
        <f t="shared" si="0"/>
        <v>270</v>
      </c>
    </row>
    <row r="19" spans="1:2">
      <c r="A19" s="50" t="s">
        <v>141</v>
      </c>
      <c r="B19" s="52">
        <f t="shared" si="0"/>
        <v>260</v>
      </c>
    </row>
    <row r="20" spans="1:2">
      <c r="A20" s="50" t="s">
        <v>142</v>
      </c>
      <c r="B20" s="52">
        <f t="shared" si="0"/>
        <v>250</v>
      </c>
    </row>
    <row r="21" spans="1:2">
      <c r="A21" s="50" t="s">
        <v>143</v>
      </c>
      <c r="B21" s="52">
        <f t="shared" si="0"/>
        <v>240</v>
      </c>
    </row>
    <row r="22" spans="1:2">
      <c r="A22" s="50" t="s">
        <v>144</v>
      </c>
      <c r="B22" s="52">
        <f t="shared" si="0"/>
        <v>230</v>
      </c>
    </row>
    <row r="23" spans="1:2">
      <c r="A23" s="50" t="s">
        <v>145</v>
      </c>
      <c r="B23" s="52">
        <f t="shared" si="0"/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 mobile</vt:lpstr>
      <vt:lpstr>Dashboard</vt:lpstr>
      <vt:lpstr>Simulador Rentabilidade</vt:lpstr>
      <vt:lpstr>Calculos</vt:lpstr>
      <vt:lpstr>Endereços</vt:lpstr>
      <vt:lpstr>Diária por Bairro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Capitani Santos</cp:lastModifiedBy>
  <dcterms:created xsi:type="dcterms:W3CDTF">2025-08-20T21:41:45Z</dcterms:created>
  <dcterms:modified xsi:type="dcterms:W3CDTF">2026-08-20T00:52:56Z</dcterms:modified>
</cp:coreProperties>
</file>